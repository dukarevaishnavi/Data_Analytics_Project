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B168F792-3B8A-4C8C-85FD-27300B70A7E1}" xr6:coauthVersionLast="47" xr6:coauthVersionMax="47" xr10:uidLastSave="{00000000-0000-0000-0000-000000000000}"/>
  <bookViews>
    <workbookView xWindow="0" yWindow="0" windowWidth="16384" windowHeight="8192" tabRatio="500" firstSheet="1" xr2:uid="{00000000-000D-0000-FFFF-FFFF00000000}"/>
  </bookViews>
  <sheets>
    <sheet name="Employee_Sales_Data" sheetId="1" r:id="rId1"/>
    <sheet name="50 Questions" sheetId="2" r:id="rId2"/>
    <sheet name="Formula Cheat Sheet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3" i="2" l="1"/>
  <c r="D52" i="2"/>
  <c r="D51" i="2"/>
  <c r="D50" i="2"/>
  <c r="D49" i="2"/>
  <c r="D48" i="2"/>
  <c r="D47" i="2"/>
  <c r="D46" i="2"/>
  <c r="D45" i="2"/>
  <c r="D44" i="2"/>
  <c r="D43" i="2"/>
  <c r="D41" i="2"/>
  <c r="D40" i="2"/>
  <c r="D38" i="2"/>
  <c r="D37" i="2"/>
  <c r="D36" i="2"/>
  <c r="D35" i="2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U4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O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T11" i="1"/>
  <c r="T12" i="1"/>
  <c r="T4" i="1"/>
  <c r="T5" i="1"/>
  <c r="T6" i="1"/>
  <c r="T7" i="1"/>
  <c r="T8" i="1"/>
  <c r="T9" i="1"/>
  <c r="T10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Q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P4" i="1"/>
  <c r="P5" i="1"/>
  <c r="W5" i="1" s="1"/>
  <c r="W4" i="1" s="1"/>
  <c r="P6" i="1"/>
  <c r="W6" i="1" s="1"/>
  <c r="P7" i="1"/>
  <c r="W7" i="1" s="1"/>
  <c r="P8" i="1"/>
  <c r="W8" i="1" s="1"/>
  <c r="P9" i="1"/>
  <c r="P10" i="1"/>
  <c r="W10" i="1" s="1"/>
  <c r="W9" i="1" s="1"/>
  <c r="P11" i="1"/>
  <c r="W11" i="1" s="1"/>
  <c r="P12" i="1"/>
  <c r="P13" i="1"/>
  <c r="W13" i="1" s="1"/>
  <c r="W12" i="1" s="1"/>
  <c r="P14" i="1"/>
  <c r="W14" i="1" s="1"/>
  <c r="P15" i="1"/>
  <c r="W15" i="1" s="1"/>
  <c r="P16" i="1"/>
  <c r="P17" i="1"/>
  <c r="W17" i="1" s="1"/>
  <c r="W16" i="1" s="1"/>
  <c r="P18" i="1"/>
  <c r="W18" i="1" s="1"/>
  <c r="P19" i="1"/>
  <c r="P20" i="1"/>
  <c r="W20" i="1" s="1"/>
  <c r="W19" i="1" s="1"/>
  <c r="P21" i="1"/>
  <c r="W21" i="1" s="1"/>
  <c r="P22" i="1"/>
  <c r="W22" i="1" s="1"/>
  <c r="P23" i="1"/>
  <c r="P24" i="1"/>
  <c r="W24" i="1" s="1"/>
  <c r="W23" i="1" s="1"/>
  <c r="P25" i="1"/>
  <c r="W25" i="1" s="1"/>
  <c r="P26" i="1"/>
  <c r="W26" i="1" s="1"/>
  <c r="P27" i="1"/>
  <c r="P28" i="1"/>
  <c r="W28" i="1" s="1"/>
  <c r="W27" i="1" s="1"/>
  <c r="P29" i="1"/>
  <c r="W29" i="1" s="1"/>
  <c r="P30" i="1"/>
  <c r="W30" i="1" s="1"/>
  <c r="P31" i="1"/>
  <c r="W31" i="1" s="1"/>
  <c r="P32" i="1"/>
  <c r="W32" i="1" s="1"/>
  <c r="P33" i="1"/>
  <c r="P34" i="1"/>
  <c r="W34" i="1" s="1"/>
  <c r="W33" i="1" s="1"/>
  <c r="P35" i="1"/>
  <c r="P36" i="1"/>
  <c r="W36" i="1" s="1"/>
  <c r="W35" i="1" s="1"/>
  <c r="P37" i="1"/>
  <c r="W37" i="1" s="1"/>
  <c r="P38" i="1"/>
  <c r="W38" i="1" s="1"/>
  <c r="P39" i="1"/>
  <c r="P40" i="1"/>
  <c r="W40" i="1" s="1"/>
  <c r="W39" i="1" s="1"/>
  <c r="P41" i="1"/>
  <c r="W41" i="1" s="1"/>
  <c r="P42" i="1"/>
  <c r="W42" i="1" s="1"/>
  <c r="P43" i="1"/>
  <c r="P44" i="1"/>
  <c r="W44" i="1" s="1"/>
  <c r="W43" i="1" s="1"/>
  <c r="P45" i="1"/>
  <c r="W45" i="1" s="1"/>
  <c r="P46" i="1"/>
  <c r="W46" i="1" s="1"/>
  <c r="P47" i="1"/>
  <c r="W47" i="1" s="1"/>
  <c r="P48" i="1"/>
  <c r="W48" i="1" s="1"/>
  <c r="P49" i="1"/>
  <c r="P50" i="1"/>
  <c r="W50" i="1" s="1"/>
  <c r="W49" i="1" s="1"/>
  <c r="P51" i="1"/>
  <c r="W51" i="1" s="1"/>
  <c r="P52" i="1"/>
  <c r="W52" i="1" s="1"/>
  <c r="P53" i="1"/>
  <c r="W53" i="1" s="1"/>
  <c r="D23" i="2"/>
  <c r="D22" i="2"/>
  <c r="D21" i="2"/>
  <c r="D19" i="2"/>
  <c r="D18" i="2"/>
  <c r="D17" i="2"/>
  <c r="D16" i="2"/>
  <c r="D15" i="2"/>
  <c r="D14" i="2"/>
  <c r="D13" i="2"/>
  <c r="D13" i="1"/>
  <c r="D12" i="2"/>
  <c r="D11" i="2"/>
  <c r="D10" i="2"/>
  <c r="D9" i="2"/>
  <c r="D8" i="2"/>
  <c r="D7" i="2"/>
  <c r="D6" i="2"/>
  <c r="D5" i="2"/>
  <c r="D4" i="2"/>
  <c r="D20" i="2" l="1"/>
  <c r="D42" i="2"/>
  <c r="D39" i="2"/>
</calcChain>
</file>

<file path=xl/sharedStrings.xml><?xml version="1.0" encoding="utf-8"?>
<sst xmlns="http://schemas.openxmlformats.org/spreadsheetml/2006/main" count="623" uniqueCount="321">
  <si>
    <t>🏢  TechVista Pvt. Ltd. — Employee &amp; Sales Dataset  (Jan 2024)</t>
  </si>
  <si>
    <t>Practice Dataset for Excel Functions  |  50 Employees  |  Multiple Departments &amp; Cities</t>
  </si>
  <si>
    <t>Emp ID</t>
  </si>
  <si>
    <t>Employee Name</t>
  </si>
  <si>
    <t>Department</t>
  </si>
  <si>
    <t>City</t>
  </si>
  <si>
    <t>Gender</t>
  </si>
  <si>
    <t>Age</t>
  </si>
  <si>
    <t>Date of Joining</t>
  </si>
  <si>
    <t>Basic Salary (₹)</t>
  </si>
  <si>
    <t>Sales Amount (₹)</t>
  </si>
  <si>
    <t>Sales Target (₹)</t>
  </si>
  <si>
    <t>Performance Rating</t>
  </si>
  <si>
    <t>Status</t>
  </si>
  <si>
    <t>Experience (Yrs)</t>
  </si>
  <si>
    <t>Bonus (₹)</t>
  </si>
  <si>
    <t>Bonus Status</t>
  </si>
  <si>
    <t>Sales Status</t>
  </si>
  <si>
    <t xml:space="preserve">Salary status </t>
  </si>
  <si>
    <t>Employee Status</t>
  </si>
  <si>
    <t>Age Status</t>
  </si>
  <si>
    <t>Grade</t>
  </si>
  <si>
    <t>Performance Grade</t>
  </si>
  <si>
    <t>Experience Status</t>
  </si>
  <si>
    <t>Performance</t>
  </si>
  <si>
    <t>Generation Group</t>
  </si>
  <si>
    <t>Bonus Category</t>
  </si>
  <si>
    <t>E001</t>
  </si>
  <si>
    <t>Aarav Sharma</t>
  </si>
  <si>
    <t>Sales</t>
  </si>
  <si>
    <t>Mumbai</t>
  </si>
  <si>
    <t>Male</t>
  </si>
  <si>
    <t>2021-03-15</t>
  </si>
  <si>
    <t>Excellent</t>
  </si>
  <si>
    <t>Active</t>
  </si>
  <si>
    <t>E002</t>
  </si>
  <si>
    <t>Priya Mehta</t>
  </si>
  <si>
    <t>HR</t>
  </si>
  <si>
    <t>Pune</t>
  </si>
  <si>
    <t>Female</t>
  </si>
  <si>
    <t>2018-07-22</t>
  </si>
  <si>
    <t>Good</t>
  </si>
  <si>
    <t>E003</t>
  </si>
  <si>
    <t>Rohan Desai</t>
  </si>
  <si>
    <t>IT</t>
  </si>
  <si>
    <t>Bangalore</t>
  </si>
  <si>
    <t>2020-01-10</t>
  </si>
  <si>
    <t>E004</t>
  </si>
  <si>
    <t>Sneha Patil</t>
  </si>
  <si>
    <t>2022-06-01</t>
  </si>
  <si>
    <t>Average</t>
  </si>
  <si>
    <t>E005</t>
  </si>
  <si>
    <t>Vikram Nair</t>
  </si>
  <si>
    <t>Finance</t>
  </si>
  <si>
    <t>Chennai</t>
  </si>
  <si>
    <t>2015-09-12</t>
  </si>
  <si>
    <t>E006</t>
  </si>
  <si>
    <t>Ananya Iyer</t>
  </si>
  <si>
    <t>2019-11-25</t>
  </si>
  <si>
    <t>E007</t>
  </si>
  <si>
    <t>Karan Joshi</t>
  </si>
  <si>
    <t>2022-02-14</t>
  </si>
  <si>
    <t>E008</t>
  </si>
  <si>
    <t>Divya Reddy</t>
  </si>
  <si>
    <t>Hyderabad</t>
  </si>
  <si>
    <t>2017-04-30</t>
  </si>
  <si>
    <t>Inactive</t>
  </si>
  <si>
    <t>E009</t>
  </si>
  <si>
    <t>Aditya Kumar</t>
  </si>
  <si>
    <t>Delhi</t>
  </si>
  <si>
    <t>2018-08-19</t>
  </si>
  <si>
    <t>E010</t>
  </si>
  <si>
    <t>Meera Singh</t>
  </si>
  <si>
    <t>2021-12-05</t>
  </si>
  <si>
    <t>E011</t>
  </si>
  <si>
    <t>Suresh Rao</t>
  </si>
  <si>
    <t>2013-03-22</t>
  </si>
  <si>
    <t>Below Avg</t>
  </si>
  <si>
    <t>E012</t>
  </si>
  <si>
    <t>Kavitha Nair</t>
  </si>
  <si>
    <t>2019-07-17</t>
  </si>
  <si>
    <t>E013</t>
  </si>
  <si>
    <t>Rahul Tiwari</t>
  </si>
  <si>
    <t>2023-01-09</t>
  </si>
  <si>
    <t>E014</t>
  </si>
  <si>
    <t>Pooja Gupta</t>
  </si>
  <si>
    <t>2016-05-28</t>
  </si>
  <si>
    <t>E015</t>
  </si>
  <si>
    <t>Nikhil Verma</t>
  </si>
  <si>
    <t>2017-10-11</t>
  </si>
  <si>
    <t>E016</t>
  </si>
  <si>
    <t>Isha Chopra</t>
  </si>
  <si>
    <t>2022-09-03</t>
  </si>
  <si>
    <t>E017</t>
  </si>
  <si>
    <t>Arjun Pillai</t>
  </si>
  <si>
    <t>2020-06-16</t>
  </si>
  <si>
    <t>E018</t>
  </si>
  <si>
    <t>Sunita Sharma</t>
  </si>
  <si>
    <t>2017-02-27</t>
  </si>
  <si>
    <t>E019</t>
  </si>
  <si>
    <t>Manish Agarwal</t>
  </si>
  <si>
    <t>2014-11-08</t>
  </si>
  <si>
    <t>E020</t>
  </si>
  <si>
    <t>Deepika Das</t>
  </si>
  <si>
    <t>2023-04-18</t>
  </si>
  <si>
    <t>E021</t>
  </si>
  <si>
    <t>Sanjay Bhat</t>
  </si>
  <si>
    <t>2011-01-15</t>
  </si>
  <si>
    <t>E022</t>
  </si>
  <si>
    <t>Lakshmi Menon</t>
  </si>
  <si>
    <t>2020-08-22</t>
  </si>
  <si>
    <t>E023</t>
  </si>
  <si>
    <t>Vivek Pandey</t>
  </si>
  <si>
    <t>2021-05-31</t>
  </si>
  <si>
    <t>E024</t>
  </si>
  <si>
    <t>Nisha Kulkarni</t>
  </si>
  <si>
    <t>2019-03-14</t>
  </si>
  <si>
    <t>E025</t>
  </si>
  <si>
    <t>Rajesh Mishra</t>
  </si>
  <si>
    <t>2012-09-02</t>
  </si>
  <si>
    <t>E026</t>
  </si>
  <si>
    <t>Geeta Pillai</t>
  </si>
  <si>
    <t>2022-11-20</t>
  </si>
  <si>
    <t>E027</t>
  </si>
  <si>
    <t>Harish Nambiar</t>
  </si>
  <si>
    <t>2018-04-07</t>
  </si>
  <si>
    <t>E028</t>
  </si>
  <si>
    <t>Ankita Jain</t>
  </si>
  <si>
    <t>2024-01-15</t>
  </si>
  <si>
    <t>E029</t>
  </si>
  <si>
    <t>Siddharth Roy</t>
  </si>
  <si>
    <t>2016-12-19</t>
  </si>
  <si>
    <t>E030</t>
  </si>
  <si>
    <t>Ritu Sharma</t>
  </si>
  <si>
    <t>2019-09-25</t>
  </si>
  <si>
    <t>E031</t>
  </si>
  <si>
    <t>Pankaj Tiwari</t>
  </si>
  <si>
    <t>2014-06-10</t>
  </si>
  <si>
    <t>E032</t>
  </si>
  <si>
    <t>Shruti Desai</t>
  </si>
  <si>
    <t>2021-07-28</t>
  </si>
  <si>
    <t>E033</t>
  </si>
  <si>
    <t>Mohit Gupta</t>
  </si>
  <si>
    <t>2023-02-14</t>
  </si>
  <si>
    <t>E034</t>
  </si>
  <si>
    <t>Vandana Singh</t>
  </si>
  <si>
    <t>2018-01-09</t>
  </si>
  <si>
    <t>E035</t>
  </si>
  <si>
    <t>Arun Nair</t>
  </si>
  <si>
    <t>2015-07-23</t>
  </si>
  <si>
    <t>E036</t>
  </si>
  <si>
    <t>Preethi Rao</t>
  </si>
  <si>
    <t>2023-06-05</t>
  </si>
  <si>
    <t>E037</t>
  </si>
  <si>
    <t>Gaurav Mehta</t>
  </si>
  <si>
    <t>2019-04-17</t>
  </si>
  <si>
    <t>E038</t>
  </si>
  <si>
    <t>Swati Kumar</t>
  </si>
  <si>
    <t>2020-10-29</t>
  </si>
  <si>
    <t>E039</t>
  </si>
  <si>
    <t>Abhishek Verma</t>
  </si>
  <si>
    <t>2022-03-11</t>
  </si>
  <si>
    <t>E040</t>
  </si>
  <si>
    <t>Namrata Joshi</t>
  </si>
  <si>
    <t>2018-12-03</t>
  </si>
  <si>
    <t>E041</t>
  </si>
  <si>
    <t>Sunil Pillai</t>
  </si>
  <si>
    <t>2013-08-17</t>
  </si>
  <si>
    <t>E042</t>
  </si>
  <si>
    <t>Kavya Reddy</t>
  </si>
  <si>
    <t>2022-05-22</t>
  </si>
  <si>
    <t>E043</t>
  </si>
  <si>
    <t>Manoj Sharma</t>
  </si>
  <si>
    <t>2019-01-14</t>
  </si>
  <si>
    <t>E044</t>
  </si>
  <si>
    <t>Divyanka Iyer</t>
  </si>
  <si>
    <t>2023-09-10</t>
  </si>
  <si>
    <t>E045</t>
  </si>
  <si>
    <t>Rajeev Bose</t>
  </si>
  <si>
    <t>2010-05-28</t>
  </si>
  <si>
    <t>E046</t>
  </si>
  <si>
    <t>Anita Das</t>
  </si>
  <si>
    <t>2019-07-01</t>
  </si>
  <si>
    <t>E047</t>
  </si>
  <si>
    <t>Dinesh Rao</t>
  </si>
  <si>
    <t>2016-02-15</t>
  </si>
  <si>
    <t>E048</t>
  </si>
  <si>
    <t>Smita Patil</t>
  </si>
  <si>
    <t>2020-11-18</t>
  </si>
  <si>
    <t>E049</t>
  </si>
  <si>
    <t>Vinay Kumar</t>
  </si>
  <si>
    <t>2023-08-07</t>
  </si>
  <si>
    <t>E050</t>
  </si>
  <si>
    <t>Pallavi Nair</t>
  </si>
  <si>
    <t>2022-01-25</t>
  </si>
  <si>
    <t>📝  Excel Assignment — 50 Questions  |  TechVista Dataset</t>
  </si>
  <si>
    <t>Instructions: Write your answers in column D. Use the Employee_Sales_Data sheet as your dataset.</t>
  </si>
  <si>
    <t>#</t>
  </si>
  <si>
    <t>Function Used</t>
  </si>
  <si>
    <t>Question</t>
  </si>
  <si>
    <t>Your Answer</t>
  </si>
  <si>
    <t>Hint / Column Reference</t>
  </si>
  <si>
    <t>AVERAGE</t>
  </si>
  <si>
    <t>What is the average Basic Salary of all 50 employees?</t>
  </si>
  <si>
    <t>Col H (Basic Salary)</t>
  </si>
  <si>
    <t>What is the average Age of all employees in the dataset?</t>
  </si>
  <si>
    <t>Col F (Age)</t>
  </si>
  <si>
    <t>What is the average Sales Amount across all employees who have a non-zero sales figure?</t>
  </si>
  <si>
    <t>Col I (Sales Amount)</t>
  </si>
  <si>
    <t>What is the average Bonus paid to all employees (include zeros)?</t>
  </si>
  <si>
    <t>Col N (Bonus)</t>
  </si>
  <si>
    <t>What is the average number of years of Experience across all employees?</t>
  </si>
  <si>
    <t>Col M (Experience)</t>
  </si>
  <si>
    <t>SUM</t>
  </si>
  <si>
    <t>What is the total Basic Salary paid to all 50 employees?</t>
  </si>
  <si>
    <t>What is the combined total of all Sales Amounts in the dataset?</t>
  </si>
  <si>
    <t>What is the total Bonus amount distributed among all employees?</t>
  </si>
  <si>
    <t>What is the total Sales Target set across all employees?</t>
  </si>
  <si>
    <t>Col J (Sales Target)</t>
  </si>
  <si>
    <t>What is the sum of salaries of employees whose Experience is more than 5 years? (Use SUM only — manually filter visually)</t>
  </si>
  <si>
    <t>Col H &amp; Col M</t>
  </si>
  <si>
    <t>COUNT</t>
  </si>
  <si>
    <t>How many employees have a numeric Bonus value? (Use COUNT)</t>
  </si>
  <si>
    <t>How many numeric entries are there in the Sales Amount column?</t>
  </si>
  <si>
    <t>How many employees have a numeric Age recorded?</t>
  </si>
  <si>
    <t>Use COUNT on the Date of Joining column — how many date entries exist?</t>
  </si>
  <si>
    <t>Col G (Date of Joining)</t>
  </si>
  <si>
    <t>COUNTA</t>
  </si>
  <si>
    <t>How many employees have their Performance Rating filled in? (Use COUNTA)</t>
  </si>
  <si>
    <t>Col K (Performance Rating)</t>
  </si>
  <si>
    <t>How many entries are in the Employee Name column? (Use COUNTA)</t>
  </si>
  <si>
    <t>Col B (Employee Name)</t>
  </si>
  <si>
    <t>How many employees have a City recorded? (Use COUNTA)</t>
  </si>
  <si>
    <t>Col D (City)</t>
  </si>
  <si>
    <t>COUNTBLANK</t>
  </si>
  <si>
    <t>How many employees have a blank Bonus value? (Use COUNTBLANK)</t>
  </si>
  <si>
    <t>How many cells are blank in the Sales Amount column? (Use COUNTBLANK)</t>
  </si>
  <si>
    <t>How many blank cells exist in the Sales Target column? (Use COUNTBLANK)</t>
  </si>
  <si>
    <t>IF</t>
  </si>
  <si>
    <t>Create a new column: If an employee's Bonus &gt; 0, write 'Bonus Received', else write 'No Bonus'.</t>
  </si>
  <si>
    <t>Col N (Bonus) → New Col</t>
  </si>
  <si>
    <t>Create a column: If Sales Amount &gt; Sales Target, write 'Target Achieved', else 'Target Missed'.</t>
  </si>
  <si>
    <t>Col I vs Col J</t>
  </si>
  <si>
    <t>Create a column: If Basic Salary &gt;= 80000, label as 'Senior Pay Band', else 'Junior Pay Band'.</t>
  </si>
  <si>
    <t>Create a column: If Status = 'Active', write 'Current Employee', else write 'Ex-Employee'.</t>
  </si>
  <si>
    <t>Col L (Status)</t>
  </si>
  <si>
    <t>Create a column: If Age &gt; 40, write 'Veteran', else write 'Young Talent'.</t>
  </si>
  <si>
    <t>Nested IF</t>
  </si>
  <si>
    <t>Create a Salary Grade column: &lt;50000='Grade C', 50000–79999='Grade B', &gt;=80000='Grade A'.</t>
  </si>
  <si>
    <t>Create a Performance Score: 'Excellent'=5, 'Good'=4, 'Average'=3, 'Below Avg'=2.</t>
  </si>
  <si>
    <t>Create an Experience Level: &lt;3 yrs='Fresher', 3–7='Mid Level', &gt;7='Senior'.</t>
  </si>
  <si>
    <t>Create a Sales Achievement Band: Achieved &amp; Excellent='Star', Achieved &amp; others='Achiever', Missed='Needs Improvement'.</t>
  </si>
  <si>
    <t>Col I, Col J, Col K</t>
  </si>
  <si>
    <t>Classify employees by Age: &lt;30='Gen Z', 30–40='Millennial', &gt;40='Gen X'.</t>
  </si>
  <si>
    <t>Create a Bonus Tier: Bonus=0 → 'No Bonus', 1–8000 → 'Standard', &gt;8000 → 'Premium'.</t>
  </si>
  <si>
    <t>COUNTIF</t>
  </si>
  <si>
    <t>How many employees are in the 'Sales' department?</t>
  </si>
  <si>
    <t>Col C (Department)</t>
  </si>
  <si>
    <t>How many employees are 'Active'?</t>
  </si>
  <si>
    <t>How many employees have a 'Good' Performance Rating?</t>
  </si>
  <si>
    <t>How many female employees are in the dataset?</t>
  </si>
  <si>
    <t>Col E (Gender)</t>
  </si>
  <si>
    <t>How many employees are based in Mumbai?</t>
  </si>
  <si>
    <t>SUMIF</t>
  </si>
  <si>
    <t>What is the total salary paid to employees in the 'Finance' department?</t>
  </si>
  <si>
    <t>Col C &amp; Col H</t>
  </si>
  <si>
    <t>What is the total Bonus given only to 'Active' employees?</t>
  </si>
  <si>
    <t>Col L &amp; Col N</t>
  </si>
  <si>
    <t>What is the total Sales Amount generated by employees in 'Chennai'?</t>
  </si>
  <si>
    <t>Col D &amp; Col I</t>
  </si>
  <si>
    <t>What is the total salary of all 'Male' employees?</t>
  </si>
  <si>
    <t>Col E &amp; Col H</t>
  </si>
  <si>
    <t>AVERAGEIF</t>
  </si>
  <si>
    <t>What is the average salary of employees in the 'IT' department?</t>
  </si>
  <si>
    <t>What is the average Sales Amount for employees with 'Excellent' rating?</t>
  </si>
  <si>
    <t>Col K &amp; Col I</t>
  </si>
  <si>
    <t>What is the average Bonus of employees with Experience &gt; 5 years? (Adjust AVERAGEIF criteria accordingly)</t>
  </si>
  <si>
    <t>Col M &amp; Col N</t>
  </si>
  <si>
    <t>SUMIFS</t>
  </si>
  <si>
    <t>What is the total salary of Female employees in the 'Sales' department?</t>
  </si>
  <si>
    <t>Col H, Col E, Col C</t>
  </si>
  <si>
    <t>What is the total Bonus given to Active employees with 'Excellent' rating?</t>
  </si>
  <si>
    <t>Col N, Col L, Col K</t>
  </si>
  <si>
    <t>What is the total Sales Amount by Male employees from Bangalore?</t>
  </si>
  <si>
    <t>Col I, Col E, Col D</t>
  </si>
  <si>
    <t>What is the total salary of Active IT employees with more than 4 years of experience?</t>
  </si>
  <si>
    <t>Col H, Col L, Col C, Col M</t>
  </si>
  <si>
    <t>AVERAGEIFS</t>
  </si>
  <si>
    <t>What is the average salary of Female employees in the Finance department?</t>
  </si>
  <si>
    <t>What is the average Sales Amount of Active employees in Mumbai with Good or above rating? (Split into two AVERAGEIFS if needed)</t>
  </si>
  <si>
    <t>Col I, Col L, Col D, Col K</t>
  </si>
  <si>
    <t>What is the average Bonus of Male employees who are Active and have Experience &gt; 5 years?</t>
  </si>
  <si>
    <t>Col N, Col E, Col L, Col M</t>
  </si>
  <si>
    <t>📖  Formula Quick Reference — Excel Functions</t>
  </si>
  <si>
    <t>Function</t>
  </si>
  <si>
    <t>Syntax</t>
  </si>
  <si>
    <t>Example on Dataset</t>
  </si>
  <si>
    <t>'=AVERAGE(range)</t>
  </si>
  <si>
    <t>'=AVERAGE(H4:H53)</t>
  </si>
  <si>
    <t>'=SUM(range)</t>
  </si>
  <si>
    <t>'=SUM(H4:H53)</t>
  </si>
  <si>
    <t>'=COUNT(range)  — counts numbers only</t>
  </si>
  <si>
    <t>'=COUNT(N4:N53)</t>
  </si>
  <si>
    <t>'=COUNTA(range) — counts non-blank cells</t>
  </si>
  <si>
    <t>'=COUNTA(B4:B53)</t>
  </si>
  <si>
    <t>'=COUNTBLANK(range) — counts empty cells</t>
  </si>
  <si>
    <t>'=COUNTBLANK(N4:N53)</t>
  </si>
  <si>
    <t>'=IF(condition, "True value", "False value")</t>
  </si>
  <si>
    <t>'=IF(N4&gt;0,"Bonus","No Bonus")</t>
  </si>
  <si>
    <t>'=IF(cond1,"A",IF(cond2,"B","C"))</t>
  </si>
  <si>
    <t>'=IF(H4&gt;=80000,"A",IF(H4&gt;=50000,"B","C"))</t>
  </si>
  <si>
    <t>'=COUNTIF(range,"criteria")</t>
  </si>
  <si>
    <t>'=COUNTIF(C4:C53,"Sales")</t>
  </si>
  <si>
    <t>'=SUMIF(range,"criteria",sum_range)</t>
  </si>
  <si>
    <t>'=SUMIF(C4:C53,"Finance",H4:H53)</t>
  </si>
  <si>
    <t>'=AVERAGEIF(range,"criteria",avg_range)</t>
  </si>
  <si>
    <t>'=AVERAGEIF(C4:C53,"IT",H4:H53)</t>
  </si>
  <si>
    <t>'=SUMIFS(sum_r,range1,"c1",range2,"c2")</t>
  </si>
  <si>
    <t>'=SUMIFS(H4:H53,E4:E53,"Female",C4:C53,"Sales")</t>
  </si>
  <si>
    <t>'=AVERAGEIFS(avg_r,range1,"c1",range2,"c2")</t>
  </si>
  <si>
    <t>'=AVERAGEIFS(H4:H53,E4:E53,"Female",C4:C53,"Finance")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</si>
</sst>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A7A1A"/>
      <name val="Arial"/>
      <charset val="1"/>
    </font>
    <font>
      <b/>
      <sz val="10"/>
      <color rgb="FFC00000"/>
      <name val="Arial"/>
      <charset val="1"/>
    </font>
    <font>
      <i/>
      <sz val="10"/>
      <color rgb="FF333333"/>
      <name val="Arial"/>
      <charset val="1"/>
    </font>
    <font>
      <b/>
      <sz val="10"/>
      <color rgb="FF1F3864"/>
      <name val="Arial"/>
      <charset val="1"/>
    </font>
    <font>
      <sz val="9"/>
      <color rgb="FF555555"/>
      <name val="Arial"/>
      <charset val="1"/>
    </font>
    <font>
      <b/>
      <sz val="10"/>
      <color rgb="FFFFFFFF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0F4FF"/>
        <bgColor rgb="FFF4F4F4"/>
      </patternFill>
    </fill>
    <fill>
      <patternFill patternType="solid">
        <fgColor rgb="FF2E75B6"/>
        <bgColor rgb="FF2F5496"/>
      </patternFill>
    </fill>
    <fill>
      <patternFill patternType="solid">
        <fgColor rgb="FFEBF0FA"/>
        <bgColor rgb="FFF0F4FF"/>
      </patternFill>
    </fill>
    <fill>
      <patternFill patternType="solid">
        <fgColor rgb="FFFFFFFF"/>
        <bgColor rgb="FFFFFDE7"/>
      </patternFill>
    </fill>
    <fill>
      <patternFill patternType="solid">
        <fgColor rgb="FFFFF9E6"/>
        <bgColor rgb="FFFFFDE7"/>
      </patternFill>
    </fill>
    <fill>
      <patternFill patternType="solid">
        <fgColor rgb="FF2F5496"/>
        <bgColor rgb="FF2E75B6"/>
      </patternFill>
    </fill>
    <fill>
      <patternFill patternType="solid">
        <fgColor rgb="FFD6E4F0"/>
        <bgColor rgb="FFCFE2F3"/>
      </patternFill>
    </fill>
    <fill>
      <patternFill patternType="solid">
        <fgColor rgb="FFFFFDE7"/>
        <bgColor rgb="FFFFF9E6"/>
      </patternFill>
    </fill>
    <fill>
      <patternFill patternType="solid">
        <fgColor rgb="FFF4F4F4"/>
        <bgColor rgb="FFF0F4FF"/>
      </patternFill>
    </fill>
    <fill>
      <patternFill patternType="solid">
        <fgColor rgb="FFD5E8D4"/>
        <bgColor rgb="FFD9EAD3"/>
      </patternFill>
    </fill>
    <fill>
      <patternFill patternType="solid">
        <fgColor rgb="FFFFF2CC"/>
        <bgColor rgb="FFFFE6CC"/>
      </patternFill>
    </fill>
    <fill>
      <patternFill patternType="solid">
        <fgColor rgb="FFFFE6CC"/>
        <bgColor rgb="FFFCE4D6"/>
      </patternFill>
    </fill>
    <fill>
      <patternFill patternType="solid">
        <fgColor rgb="FFF8CECC"/>
        <bgColor rgb="FFEAD1DC"/>
      </patternFill>
    </fill>
    <fill>
      <patternFill patternType="solid">
        <fgColor rgb="FFE8D5F5"/>
        <bgColor rgb="FFEAD1DC"/>
      </patternFill>
    </fill>
    <fill>
      <patternFill patternType="solid">
        <fgColor rgb="FFD0E8E8"/>
        <bgColor rgb="FFD6E4F0"/>
      </patternFill>
    </fill>
    <fill>
      <patternFill patternType="solid">
        <fgColor rgb="FFFCE4D6"/>
        <bgColor rgb="FFFFE6CC"/>
      </patternFill>
    </fill>
    <fill>
      <patternFill patternType="solid">
        <fgColor rgb="FFDAEEF3"/>
        <bgColor rgb="FFD0E8E8"/>
      </patternFill>
    </fill>
    <fill>
      <patternFill patternType="solid">
        <fgColor rgb="FFEAD1DC"/>
        <bgColor rgb="FFE8D5F5"/>
      </patternFill>
    </fill>
    <fill>
      <patternFill patternType="solid">
        <fgColor rgb="FFD9EAD3"/>
        <bgColor rgb="FFD5E8D4"/>
      </patternFill>
    </fill>
    <fill>
      <patternFill patternType="solid">
        <fgColor rgb="FFCFE2F3"/>
        <bgColor rgb="FFD6E4F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0" fillId="0" borderId="0" xfId="0" applyFont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border outline="0">
        <left style="thin">
          <color rgb="FFB0B0B0"/>
        </left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CC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B0B0B0"/>
      <rgbColor rgb="FF808080"/>
      <rgbColor rgb="FFD5E8D4"/>
      <rgbColor rgb="FF993366"/>
      <rgbColor rgb="FFFFFDE7"/>
      <rgbColor rgb="FFDAEEF3"/>
      <rgbColor rgb="FF660066"/>
      <rgbColor rgb="FFF4F4F4"/>
      <rgbColor rgb="FF0066CC"/>
      <rgbColor rgb="FFE8D5F5"/>
      <rgbColor rgb="FF000080"/>
      <rgbColor rgb="FFFF00FF"/>
      <rgbColor rgb="FFFFF9E6"/>
      <rgbColor rgb="FF00FFFF"/>
      <rgbColor rgb="FF800080"/>
      <rgbColor rgb="FF800000"/>
      <rgbColor rgb="FF008080"/>
      <rgbColor rgb="FF0000FF"/>
      <rgbColor rgb="FF00CCFF"/>
      <rgbColor rgb="FFD0E8E8"/>
      <rgbColor rgb="FFD9EAD3"/>
      <rgbColor rgb="FFFFF2CC"/>
      <rgbColor rgb="FFCFE2F3"/>
      <rgbColor rgb="FFEAD1DC"/>
      <rgbColor rgb="FFD6E4F0"/>
      <rgbColor rgb="FFF8CECC"/>
      <rgbColor rgb="FF2E75B6"/>
      <rgbColor rgb="FF33CCCC"/>
      <rgbColor rgb="FFF0F4FF"/>
      <rgbColor rgb="FFFCE4D6"/>
      <rgbColor rgb="FFFF9900"/>
      <rgbColor rgb="FFFF6600"/>
      <rgbColor rgb="FF555555"/>
      <rgbColor rgb="FFEBF0FA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FB611-996E-498E-B662-E4067275DABC}" name="Table1" displayName="Table1" ref="O3:Y53" totalsRowShown="0" dataDxfId="12" tableBorderDxfId="11">
  <autoFilter ref="O3:Y53" xr:uid="{093FB611-996E-498E-B662-E4067275DABC}"/>
  <tableColumns count="11">
    <tableColumn id="1" xr3:uid="{D17133A3-D94C-46EA-83D0-17633D3B2A0D}" name="Bonus Status" dataDxfId="10">
      <calculatedColumnFormula>IF(N5&gt;0,"Bonus Received","No Bonus")</calculatedColumnFormula>
    </tableColumn>
    <tableColumn id="3" xr3:uid="{944BDE88-9AD9-4BBE-A15E-76475A4E1651}" name="Sales Status" dataDxfId="9">
      <calculatedColumnFormula>IF(Employee_Sales_Data!I4&gt;Employee_Sales_Data!J4,"Target Achieved","Target Missed")</calculatedColumnFormula>
    </tableColumn>
    <tableColumn id="6" xr3:uid="{1ED45C03-0549-479D-A6A2-8EE15478D010}" name="Salary status " dataDxfId="8">
      <calculatedColumnFormula>IF(H4&gt;80000,"Senoir Pay Band","Junior Pay Band")</calculatedColumnFormula>
    </tableColumn>
    <tableColumn id="7" xr3:uid="{2BF4BCD5-D5AF-4550-8E3C-D2A08EC4B2BD}" name="Employee Status" dataDxfId="7">
      <calculatedColumnFormula>IF(L4="Active","Current Employee","Ex-Employee")</calculatedColumnFormula>
    </tableColumn>
    <tableColumn id="8" xr3:uid="{5E4C0296-4BE8-44A3-8843-4227B2DC6A7D}" name="Age Status" dataDxfId="6">
      <calculatedColumnFormula>IF(F4&gt;40,"Vetaran","Young Talent")</calculatedColumnFormula>
    </tableColumn>
    <tableColumn id="9" xr3:uid="{530E6B58-07AE-4124-BC82-92027CDE5EF0}" name="Grade" dataDxfId="5">
      <calculatedColumnFormula>IF(H4&gt;=80000,"Grade A",IF(H4&gt;50000,"Grade B","Grade C"))</calculatedColumnFormula>
    </tableColumn>
    <tableColumn id="10" xr3:uid="{0FD2831F-6A53-4218-940E-3C1F0872A517}" name="Performance Grade" dataDxfId="4">
      <calculatedColumnFormula>IF(K4="Excellent","5",IF(K4="Good","4",IF(K4="Average","3",IF(K4="Below Avg","2","1"))))</calculatedColumnFormula>
    </tableColumn>
    <tableColumn id="2" xr3:uid="{D23B2FED-D930-46BA-A473-1799D39E0ECD}" name="Experience Status" dataDxfId="3">
      <calculatedColumnFormula>IF(M4&lt;3,"Fresher",IF(M4&lt;7,"Mid Level","Senior"))</calculatedColumnFormula>
    </tableColumn>
    <tableColumn id="4" xr3:uid="{4611CCFE-3335-4E0A-AD11-F5CC17F34B04}" name="Performance" dataDxfId="2">
      <calculatedColumnFormula>IF(Table1[[#This Row],[Sales Status]]="Target Missed","Needs Improvement",IF(AND(Table1[[#This Row],[Sales Status]]="Achieved",W5="Excellent"),
        "Star",
        "Achiever"
    )
)</calculatedColumnFormula>
    </tableColumn>
    <tableColumn id="5" xr3:uid="{E1D9252A-9763-4CB1-82B4-697DC14C79FA}" name="Generation Group" dataDxfId="1">
      <calculatedColumnFormula>IF(F4&lt;30,"Gen-Z",IF(F4&lt;40,"Millennial","Gen X"))</calculatedColumnFormula>
    </tableColumn>
    <tableColumn id="11" xr3:uid="{713A808F-A1DA-43CE-81E0-F229E46FBEFF}" name="Bonus Category" dataDxfId="0">
      <calculatedColumnFormula>IF(N4=0,"No Bonus",IF(N4&lt;=8000,"Stanadard","Premium"))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showGridLines="0" tabSelected="1" zoomScaleNormal="100" workbookViewId="0">
      <pane ySplit="3" topLeftCell="P30" activePane="bottomLeft" state="frozen"/>
      <selection pane="bottomLeft" activeCell="A4" sqref="A4:Y53"/>
    </sheetView>
  </sheetViews>
  <sheetFormatPr defaultColWidth="8.7109375" defaultRowHeight="15"/>
  <cols>
    <col min="1" max="1" width="9" style="1" customWidth="1"/>
    <col min="2" max="2" width="22" style="1" customWidth="1"/>
    <col min="3" max="3" width="12" style="1" customWidth="1"/>
    <col min="4" max="4" width="13" style="1" customWidth="1"/>
    <col min="5" max="5" width="8" style="1" customWidth="1"/>
    <col min="6" max="6" width="6" style="1" customWidth="1"/>
    <col min="7" max="7" width="16" style="1" customWidth="1"/>
    <col min="8" max="10" width="18" style="1" customWidth="1"/>
    <col min="11" max="11" width="17" style="1" customWidth="1"/>
    <col min="12" max="12" width="10" style="1" customWidth="1"/>
    <col min="13" max="13" width="16" style="1" customWidth="1"/>
    <col min="14" max="14" width="13" style="1" customWidth="1"/>
    <col min="15" max="15" width="36.5703125" bestFit="1" customWidth="1"/>
    <col min="16" max="16" width="13.7109375" bestFit="1" customWidth="1"/>
    <col min="17" max="17" width="15" bestFit="1" customWidth="1"/>
    <col min="18" max="18" width="20" customWidth="1"/>
    <col min="19" max="19" width="20.28515625" customWidth="1"/>
    <col min="20" max="21" width="13.28515625" customWidth="1"/>
    <col min="22" max="25" width="36.5703125" bestFit="1" customWidth="1"/>
  </cols>
  <sheetData>
    <row r="1" spans="1:25" ht="31.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25" ht="19.5" customHeight="1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25" ht="36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4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s="47" t="s">
        <v>21</v>
      </c>
      <c r="U3" s="47" t="s">
        <v>22</v>
      </c>
      <c r="V3" s="47" t="s">
        <v>23</v>
      </c>
      <c r="W3" s="47" t="s">
        <v>24</v>
      </c>
      <c r="X3" s="47" t="s">
        <v>25</v>
      </c>
      <c r="Y3" s="47" t="s">
        <v>26</v>
      </c>
    </row>
    <row r="4" spans="1:25" ht="15" customHeight="1">
      <c r="A4" s="3" t="s">
        <v>27</v>
      </c>
      <c r="B4" s="4" t="s">
        <v>28</v>
      </c>
      <c r="C4" s="3" t="s">
        <v>29</v>
      </c>
      <c r="D4" s="3" t="s">
        <v>30</v>
      </c>
      <c r="E4" s="3" t="s">
        <v>31</v>
      </c>
      <c r="F4" s="3">
        <v>28</v>
      </c>
      <c r="G4" s="3" t="s">
        <v>32</v>
      </c>
      <c r="H4" s="5">
        <v>52000</v>
      </c>
      <c r="I4" s="5">
        <v>185000</v>
      </c>
      <c r="J4" s="5">
        <v>180000</v>
      </c>
      <c r="K4" s="3" t="s">
        <v>33</v>
      </c>
      <c r="L4" s="6" t="s">
        <v>34</v>
      </c>
      <c r="M4" s="3">
        <v>3</v>
      </c>
      <c r="N4" s="44">
        <v>8500</v>
      </c>
      <c r="O4" s="42" t="str">
        <f>IF(N5&gt;0,"Bonus Received","No Bonus")</f>
        <v>Bonus Received</v>
      </c>
      <c r="P4" s="42" t="str">
        <f>IF(Employee_Sales_Data!I4&gt;Employee_Sales_Data!J4,"Target Achieved","Target Missed")</f>
        <v>Target Achieved</v>
      </c>
      <c r="Q4" s="42" t="str">
        <f>IF(H4&gt;80000,"Senoir Pay Band","Junior Pay Band")</f>
        <v>Junior Pay Band</v>
      </c>
      <c r="R4" s="42" t="str">
        <f>IF(L4="Active","Current Employee","Ex-Employee")</f>
        <v>Current Employee</v>
      </c>
      <c r="S4" s="46" t="str">
        <f>IF(F4&gt;40,"Vetaran","Young Talent")</f>
        <v>Young Talent</v>
      </c>
      <c r="T4" s="46" t="str">
        <f t="shared" ref="T4:T35" si="0">IF(H4&gt;=80000,"Grade A",IF(H4&gt;50000,"Grade B","Grade C"))</f>
        <v>Grade B</v>
      </c>
      <c r="U4" s="46" t="str">
        <f>IF(K4="Excellent","5",IF(K4="Good","4",IF(K4="Average","3",IF(K4="Below Avg","2","1"))))</f>
        <v>5</v>
      </c>
      <c r="V4" s="46" t="str">
        <f>IF(M4&lt;3,"Fresher",IF(M4&lt;7,"Mid Level","Senior"))</f>
        <v>Mid Level</v>
      </c>
      <c r="W4" s="46" t="str">
        <f>IF(Table1[[#This Row],[Sales Status]]="Target Missed","Needs Improvement",IF(AND(Table1[[#This Row],[Sales Status]]="Achieved",W5="Excellent"),
        "Star",
        "Achiever"
    )
)</f>
        <v>Achiever</v>
      </c>
      <c r="X4" s="46" t="str">
        <f t="shared" ref="X4:X35" si="1">IF(F4&lt;30,"Gen-Z",IF(F4&lt;40,"Millennial","Gen X"))</f>
        <v>Gen-Z</v>
      </c>
      <c r="Y4" s="46" t="str">
        <f t="shared" ref="Y4:Y35" si="2">IF(N4=0,"No Bonus",IF(N4&lt;=8000,"Stanadard","Premium"))</f>
        <v>Premium</v>
      </c>
    </row>
    <row r="5" spans="1:25" ht="15" customHeight="1">
      <c r="A5" s="7" t="s">
        <v>35</v>
      </c>
      <c r="B5" s="8" t="s">
        <v>36</v>
      </c>
      <c r="C5" s="7" t="s">
        <v>37</v>
      </c>
      <c r="D5" s="7" t="s">
        <v>38</v>
      </c>
      <c r="E5" s="7" t="s">
        <v>39</v>
      </c>
      <c r="F5" s="7">
        <v>35</v>
      </c>
      <c r="G5" s="7" t="s">
        <v>40</v>
      </c>
      <c r="H5" s="9">
        <v>68000</v>
      </c>
      <c r="I5" s="9">
        <v>0</v>
      </c>
      <c r="J5" s="9">
        <v>0</v>
      </c>
      <c r="K5" s="7" t="s">
        <v>41</v>
      </c>
      <c r="L5" s="10" t="s">
        <v>34</v>
      </c>
      <c r="M5" s="7">
        <v>7</v>
      </c>
      <c r="N5" s="45">
        <v>6800</v>
      </c>
      <c r="O5" s="42" t="str">
        <f t="shared" ref="O4:O35" si="3">IF(N6&gt;0,"Bonus Received","No Bonus")</f>
        <v>Bonus Received</v>
      </c>
      <c r="P5" s="42" t="str">
        <f>IF(Employee_Sales_Data!I5&gt;Employee_Sales_Data!J5,"Target Achieved","Target Missed")</f>
        <v>Target Missed</v>
      </c>
      <c r="Q5" s="42" t="str">
        <f t="shared" ref="Q4:Q53" si="4">IF(H5&gt;80000,"Senoir Pay Band","Junior Pay Band")</f>
        <v>Junior Pay Band</v>
      </c>
      <c r="R5" s="42" t="str">
        <f t="shared" ref="R5:R53" si="5">IF(L5="Active","Current Employee","Ex-Employee")</f>
        <v>Current Employee</v>
      </c>
      <c r="S5" s="46" t="str">
        <f t="shared" ref="S4:S35" si="6">IF(F5&gt;40,"Vetaran","Young Talent")</f>
        <v>Young Talent</v>
      </c>
      <c r="T5" s="46" t="str">
        <f t="shared" si="0"/>
        <v>Grade B</v>
      </c>
      <c r="U5" s="46" t="str">
        <f t="shared" ref="U4:U35" si="7">IF(K5="Excellent","5",IF(K5="Good","4",IF(K5="Average","3",IF(K5="Below Avg","2","1"))))</f>
        <v>4</v>
      </c>
      <c r="V5" s="46" t="str">
        <f t="shared" ref="V4:V35" si="8">IF(M5&lt;3,"Fresher",IF(M5&lt;7,"Mid Level","Senior"))</f>
        <v>Senior</v>
      </c>
      <c r="W5" s="46" t="str">
        <f>IF(Table1[[#This Row],[Sales Status]]="Target Missed","Needs Improvement",IF(AND(Table1[[#This Row],[Sales Status]]="Achieved",W6="Excellent"),
        "Star",
        "Achiever"
    )
)</f>
        <v>Needs Improvement</v>
      </c>
      <c r="X5" s="46" t="str">
        <f t="shared" si="1"/>
        <v>Millennial</v>
      </c>
      <c r="Y5" s="46" t="str">
        <f t="shared" si="2"/>
        <v>Stanadard</v>
      </c>
    </row>
    <row r="6" spans="1:25" ht="15" customHeight="1">
      <c r="A6" s="3" t="s">
        <v>42</v>
      </c>
      <c r="B6" s="4" t="s">
        <v>43</v>
      </c>
      <c r="C6" s="3" t="s">
        <v>44</v>
      </c>
      <c r="D6" s="3" t="s">
        <v>45</v>
      </c>
      <c r="E6" s="3" t="s">
        <v>31</v>
      </c>
      <c r="F6" s="3">
        <v>30</v>
      </c>
      <c r="G6" s="3" t="s">
        <v>46</v>
      </c>
      <c r="H6" s="5">
        <v>75000</v>
      </c>
      <c r="I6" s="5">
        <v>0</v>
      </c>
      <c r="J6" s="5">
        <v>0</v>
      </c>
      <c r="K6" s="3" t="s">
        <v>33</v>
      </c>
      <c r="L6" s="6" t="s">
        <v>34</v>
      </c>
      <c r="M6" s="3">
        <v>5</v>
      </c>
      <c r="N6" s="44">
        <v>9200</v>
      </c>
      <c r="O6" s="42" t="str">
        <f t="shared" si="3"/>
        <v>Bonus Received</v>
      </c>
      <c r="P6" s="42" t="str">
        <f>IF(Employee_Sales_Data!I6&gt;Employee_Sales_Data!J6,"Target Achieved","Target Missed")</f>
        <v>Target Missed</v>
      </c>
      <c r="Q6" s="42" t="str">
        <f t="shared" si="4"/>
        <v>Junior Pay Band</v>
      </c>
      <c r="R6" s="42" t="str">
        <f t="shared" si="5"/>
        <v>Current Employee</v>
      </c>
      <c r="S6" s="46" t="str">
        <f t="shared" si="6"/>
        <v>Young Talent</v>
      </c>
      <c r="T6" s="46" t="str">
        <f t="shared" si="0"/>
        <v>Grade B</v>
      </c>
      <c r="U6" s="46" t="str">
        <f t="shared" si="7"/>
        <v>5</v>
      </c>
      <c r="V6" s="46" t="str">
        <f t="shared" si="8"/>
        <v>Mid Level</v>
      </c>
      <c r="W6" s="46" t="str">
        <f>IF(Table1[[#This Row],[Sales Status]]="Target Missed","Needs Improvement",IF(AND(Table1[[#This Row],[Sales Status]]="Achieved",W7="Excellent"),
        "Star",
        "Achiever"
    )
)</f>
        <v>Needs Improvement</v>
      </c>
      <c r="X6" s="46" t="str">
        <f t="shared" si="1"/>
        <v>Millennial</v>
      </c>
      <c r="Y6" s="46" t="str">
        <f t="shared" si="2"/>
        <v>Premium</v>
      </c>
    </row>
    <row r="7" spans="1:25" ht="15" customHeight="1">
      <c r="A7" s="7" t="s">
        <v>47</v>
      </c>
      <c r="B7" s="8" t="s">
        <v>48</v>
      </c>
      <c r="C7" s="7" t="s">
        <v>29</v>
      </c>
      <c r="D7" s="7" t="s">
        <v>30</v>
      </c>
      <c r="E7" s="7" t="s">
        <v>39</v>
      </c>
      <c r="F7" s="7">
        <v>26</v>
      </c>
      <c r="G7" s="7" t="s">
        <v>49</v>
      </c>
      <c r="H7" s="9">
        <v>45000</v>
      </c>
      <c r="I7" s="9">
        <v>162000</v>
      </c>
      <c r="J7" s="9">
        <v>170000</v>
      </c>
      <c r="K7" s="7" t="s">
        <v>50</v>
      </c>
      <c r="L7" s="10" t="s">
        <v>34</v>
      </c>
      <c r="M7" s="7">
        <v>2</v>
      </c>
      <c r="N7" s="45">
        <v>4500</v>
      </c>
      <c r="O7" s="42" t="str">
        <f t="shared" si="3"/>
        <v>Bonus Received</v>
      </c>
      <c r="P7" s="42" t="str">
        <f>IF(Employee_Sales_Data!I7&gt;Employee_Sales_Data!J7,"Target Achieved","Target Missed")</f>
        <v>Target Missed</v>
      </c>
      <c r="Q7" s="42" t="str">
        <f t="shared" si="4"/>
        <v>Junior Pay Band</v>
      </c>
      <c r="R7" s="42" t="str">
        <f t="shared" si="5"/>
        <v>Current Employee</v>
      </c>
      <c r="S7" s="46" t="str">
        <f t="shared" si="6"/>
        <v>Young Talent</v>
      </c>
      <c r="T7" s="46" t="str">
        <f t="shared" si="0"/>
        <v>Grade C</v>
      </c>
      <c r="U7" s="46" t="str">
        <f t="shared" si="7"/>
        <v>3</v>
      </c>
      <c r="V7" s="46" t="str">
        <f t="shared" si="8"/>
        <v>Fresher</v>
      </c>
      <c r="W7" s="46" t="str">
        <f>IF(Table1[[#This Row],[Sales Status]]="Target Missed","Needs Improvement",IF(AND(Table1[[#This Row],[Sales Status]]="Achieved",W8="Excellent"),
        "Star",
        "Achiever"
    )
)</f>
        <v>Needs Improvement</v>
      </c>
      <c r="X7" s="46" t="str">
        <f t="shared" si="1"/>
        <v>Gen-Z</v>
      </c>
      <c r="Y7" s="46" t="str">
        <f t="shared" si="2"/>
        <v>Stanadard</v>
      </c>
    </row>
    <row r="8" spans="1:25" ht="15" customHeight="1">
      <c r="A8" s="3" t="s">
        <v>51</v>
      </c>
      <c r="B8" s="4" t="s">
        <v>52</v>
      </c>
      <c r="C8" s="3" t="s">
        <v>53</v>
      </c>
      <c r="D8" s="3" t="s">
        <v>54</v>
      </c>
      <c r="E8" s="3" t="s">
        <v>31</v>
      </c>
      <c r="F8" s="3">
        <v>42</v>
      </c>
      <c r="G8" s="3" t="s">
        <v>55</v>
      </c>
      <c r="H8" s="5">
        <v>92000</v>
      </c>
      <c r="I8" s="5">
        <v>0</v>
      </c>
      <c r="J8" s="5">
        <v>0</v>
      </c>
      <c r="K8" s="3" t="s">
        <v>33</v>
      </c>
      <c r="L8" s="6" t="s">
        <v>34</v>
      </c>
      <c r="M8" s="3">
        <v>10</v>
      </c>
      <c r="N8" s="44">
        <v>11500</v>
      </c>
      <c r="O8" s="42" t="str">
        <f t="shared" si="3"/>
        <v>Bonus Received</v>
      </c>
      <c r="P8" s="42" t="str">
        <f>IF(Employee_Sales_Data!I8&gt;Employee_Sales_Data!J8,"Target Achieved","Target Missed")</f>
        <v>Target Missed</v>
      </c>
      <c r="Q8" s="42" t="str">
        <f t="shared" si="4"/>
        <v>Senoir Pay Band</v>
      </c>
      <c r="R8" s="42" t="str">
        <f t="shared" si="5"/>
        <v>Current Employee</v>
      </c>
      <c r="S8" s="46" t="str">
        <f t="shared" si="6"/>
        <v>Vetaran</v>
      </c>
      <c r="T8" s="46" t="str">
        <f t="shared" si="0"/>
        <v>Grade A</v>
      </c>
      <c r="U8" s="46" t="str">
        <f t="shared" si="7"/>
        <v>5</v>
      </c>
      <c r="V8" s="46" t="str">
        <f t="shared" si="8"/>
        <v>Senior</v>
      </c>
      <c r="W8" s="46" t="str">
        <f>IF(Table1[[#This Row],[Sales Status]]="Target Missed","Needs Improvement",IF(AND(Table1[[#This Row],[Sales Status]]="Achieved",W9="Excellent"),
        "Star",
        "Achiever"
    )
)</f>
        <v>Needs Improvement</v>
      </c>
      <c r="X8" s="46" t="str">
        <f t="shared" si="1"/>
        <v>Gen X</v>
      </c>
      <c r="Y8" s="46" t="str">
        <f t="shared" si="2"/>
        <v>Premium</v>
      </c>
    </row>
    <row r="9" spans="1:25" ht="15" customHeight="1">
      <c r="A9" s="7" t="s">
        <v>56</v>
      </c>
      <c r="B9" s="8" t="s">
        <v>57</v>
      </c>
      <c r="C9" s="7" t="s">
        <v>29</v>
      </c>
      <c r="D9" s="7" t="s">
        <v>54</v>
      </c>
      <c r="E9" s="7" t="s">
        <v>39</v>
      </c>
      <c r="F9" s="7">
        <v>31</v>
      </c>
      <c r="G9" s="7" t="s">
        <v>58</v>
      </c>
      <c r="H9" s="9">
        <v>58000</v>
      </c>
      <c r="I9" s="9">
        <v>210000</v>
      </c>
      <c r="J9" s="9">
        <v>200000</v>
      </c>
      <c r="K9" s="7" t="s">
        <v>33</v>
      </c>
      <c r="L9" s="10" t="s">
        <v>34</v>
      </c>
      <c r="M9" s="7">
        <v>6</v>
      </c>
      <c r="N9" s="45">
        <v>9800</v>
      </c>
      <c r="O9" s="42" t="str">
        <f t="shared" si="3"/>
        <v>Bonus Received</v>
      </c>
      <c r="P9" s="42" t="str">
        <f>IF(Employee_Sales_Data!I9&gt;Employee_Sales_Data!J9,"Target Achieved","Target Missed")</f>
        <v>Target Achieved</v>
      </c>
      <c r="Q9" s="42" t="str">
        <f t="shared" si="4"/>
        <v>Junior Pay Band</v>
      </c>
      <c r="R9" s="42" t="str">
        <f t="shared" si="5"/>
        <v>Current Employee</v>
      </c>
      <c r="S9" s="46" t="str">
        <f t="shared" si="6"/>
        <v>Young Talent</v>
      </c>
      <c r="T9" s="46" t="str">
        <f t="shared" si="0"/>
        <v>Grade B</v>
      </c>
      <c r="U9" s="46" t="str">
        <f t="shared" si="7"/>
        <v>5</v>
      </c>
      <c r="V9" s="46" t="str">
        <f t="shared" si="8"/>
        <v>Mid Level</v>
      </c>
      <c r="W9" s="46" t="str">
        <f>IF(Table1[[#This Row],[Sales Status]]="Target Missed","Needs Improvement",IF(AND(Table1[[#This Row],[Sales Status]]="Achieved",W10="Excellent"),
        "Star",
        "Achiever"
    )
)</f>
        <v>Achiever</v>
      </c>
      <c r="X9" s="46" t="str">
        <f t="shared" si="1"/>
        <v>Millennial</v>
      </c>
      <c r="Y9" s="46" t="str">
        <f t="shared" si="2"/>
        <v>Premium</v>
      </c>
    </row>
    <row r="10" spans="1:25" ht="15" customHeight="1">
      <c r="A10" s="3" t="s">
        <v>59</v>
      </c>
      <c r="B10" s="4" t="s">
        <v>60</v>
      </c>
      <c r="C10" s="3" t="s">
        <v>44</v>
      </c>
      <c r="D10" s="3" t="s">
        <v>38</v>
      </c>
      <c r="E10" s="3" t="s">
        <v>31</v>
      </c>
      <c r="F10" s="3">
        <v>27</v>
      </c>
      <c r="G10" s="3" t="s">
        <v>61</v>
      </c>
      <c r="H10" s="5">
        <v>70000</v>
      </c>
      <c r="I10" s="5">
        <v>0</v>
      </c>
      <c r="J10" s="5">
        <v>0</v>
      </c>
      <c r="K10" s="3" t="s">
        <v>41</v>
      </c>
      <c r="L10" s="6" t="s">
        <v>34</v>
      </c>
      <c r="M10" s="3">
        <v>3</v>
      </c>
      <c r="N10" s="44">
        <v>7000</v>
      </c>
      <c r="O10" s="42" t="str">
        <f t="shared" si="3"/>
        <v>No Bonus</v>
      </c>
      <c r="P10" s="42" t="str">
        <f>IF(Employee_Sales_Data!I10&gt;Employee_Sales_Data!J10,"Target Achieved","Target Missed")</f>
        <v>Target Missed</v>
      </c>
      <c r="Q10" s="42" t="str">
        <f t="shared" si="4"/>
        <v>Junior Pay Band</v>
      </c>
      <c r="R10" s="42" t="str">
        <f t="shared" si="5"/>
        <v>Current Employee</v>
      </c>
      <c r="S10" s="46" t="str">
        <f t="shared" si="6"/>
        <v>Young Talent</v>
      </c>
      <c r="T10" s="46" t="str">
        <f t="shared" si="0"/>
        <v>Grade B</v>
      </c>
      <c r="U10" s="46" t="str">
        <f t="shared" si="7"/>
        <v>4</v>
      </c>
      <c r="V10" s="46" t="str">
        <f t="shared" si="8"/>
        <v>Mid Level</v>
      </c>
      <c r="W10" s="46" t="str">
        <f>IF(Table1[[#This Row],[Sales Status]]="Target Missed","Needs Improvement",IF(AND(Table1[[#This Row],[Sales Status]]="Achieved",W11="Excellent"),
        "Star",
        "Achiever"
    )
)</f>
        <v>Needs Improvement</v>
      </c>
      <c r="X10" s="46" t="str">
        <f t="shared" si="1"/>
        <v>Gen-Z</v>
      </c>
      <c r="Y10" s="46" t="str">
        <f t="shared" si="2"/>
        <v>Stanadard</v>
      </c>
    </row>
    <row r="11" spans="1:25" ht="15" customHeight="1">
      <c r="A11" s="7" t="s">
        <v>62</v>
      </c>
      <c r="B11" s="8" t="s">
        <v>63</v>
      </c>
      <c r="C11" s="7" t="s">
        <v>37</v>
      </c>
      <c r="D11" s="7" t="s">
        <v>64</v>
      </c>
      <c r="E11" s="7" t="s">
        <v>39</v>
      </c>
      <c r="F11" s="7">
        <v>38</v>
      </c>
      <c r="G11" s="7" t="s">
        <v>65</v>
      </c>
      <c r="H11" s="9">
        <v>72000</v>
      </c>
      <c r="I11" s="9">
        <v>0</v>
      </c>
      <c r="J11" s="9">
        <v>0</v>
      </c>
      <c r="K11" s="7" t="s">
        <v>50</v>
      </c>
      <c r="L11" s="11" t="s">
        <v>66</v>
      </c>
      <c r="M11" s="7">
        <v>8</v>
      </c>
      <c r="N11" s="45">
        <v>0</v>
      </c>
      <c r="O11" s="42" t="str">
        <f t="shared" si="3"/>
        <v>Bonus Received</v>
      </c>
      <c r="P11" s="42" t="str">
        <f>IF(Employee_Sales_Data!I11&gt;Employee_Sales_Data!J11,"Target Achieved","Target Missed")</f>
        <v>Target Missed</v>
      </c>
      <c r="Q11" s="42" t="str">
        <f t="shared" si="4"/>
        <v>Junior Pay Band</v>
      </c>
      <c r="R11" s="42" t="str">
        <f t="shared" si="5"/>
        <v>Ex-Employee</v>
      </c>
      <c r="S11" s="46" t="str">
        <f t="shared" si="6"/>
        <v>Young Talent</v>
      </c>
      <c r="T11" s="46" t="str">
        <f>IF(H11&gt;=80000,"Grade A",IF(H11&gt;50000,"Grade B","Grade C"))</f>
        <v>Grade B</v>
      </c>
      <c r="U11" s="46" t="str">
        <f t="shared" si="7"/>
        <v>3</v>
      </c>
      <c r="V11" s="46" t="str">
        <f t="shared" si="8"/>
        <v>Senior</v>
      </c>
      <c r="W11" s="46" t="str">
        <f>IF(Table1[[#This Row],[Sales Status]]="Target Missed","Needs Improvement",IF(AND(Table1[[#This Row],[Sales Status]]="Achieved",W12="Excellent"),
        "Star",
        "Achiever"
    )
)</f>
        <v>Needs Improvement</v>
      </c>
      <c r="X11" s="46" t="str">
        <f t="shared" si="1"/>
        <v>Millennial</v>
      </c>
      <c r="Y11" s="46" t="str">
        <f t="shared" si="2"/>
        <v>No Bonus</v>
      </c>
    </row>
    <row r="12" spans="1:25" ht="15" customHeight="1">
      <c r="A12" s="3" t="s">
        <v>67</v>
      </c>
      <c r="B12" s="4" t="s">
        <v>68</v>
      </c>
      <c r="C12" s="3" t="s">
        <v>29</v>
      </c>
      <c r="D12" s="3" t="s">
        <v>69</v>
      </c>
      <c r="E12" s="3" t="s">
        <v>31</v>
      </c>
      <c r="F12" s="3">
        <v>33</v>
      </c>
      <c r="G12" s="3" t="s">
        <v>70</v>
      </c>
      <c r="H12" s="5">
        <v>61000</v>
      </c>
      <c r="I12" s="5">
        <v>195000</v>
      </c>
      <c r="J12" s="5">
        <v>190000</v>
      </c>
      <c r="K12" s="3" t="s">
        <v>41</v>
      </c>
      <c r="L12" s="6" t="s">
        <v>34</v>
      </c>
      <c r="M12" s="3">
        <v>7</v>
      </c>
      <c r="N12" s="44">
        <v>8200</v>
      </c>
      <c r="O12" s="42" t="str">
        <f t="shared" si="3"/>
        <v>Bonus Received</v>
      </c>
      <c r="P12" s="42" t="str">
        <f>IF(Employee_Sales_Data!I12&gt;Employee_Sales_Data!J12,"Target Achieved","Target Missed")</f>
        <v>Target Achieved</v>
      </c>
      <c r="Q12" s="42" t="str">
        <f t="shared" si="4"/>
        <v>Junior Pay Band</v>
      </c>
      <c r="R12" s="42" t="str">
        <f t="shared" si="5"/>
        <v>Current Employee</v>
      </c>
      <c r="S12" s="46" t="str">
        <f t="shared" si="6"/>
        <v>Young Talent</v>
      </c>
      <c r="T12" s="46" t="str">
        <f>IF(H12&gt;=80000,"Grade A",IF(H12&gt;50000,"Grade B","Grade C"))</f>
        <v>Grade B</v>
      </c>
      <c r="U12" s="46" t="str">
        <f t="shared" si="7"/>
        <v>4</v>
      </c>
      <c r="V12" s="46" t="str">
        <f t="shared" si="8"/>
        <v>Senior</v>
      </c>
      <c r="W12" s="46" t="str">
        <f>IF(Table1[[#This Row],[Sales Status]]="Target Missed","Needs Improvement",IF(AND(Table1[[#This Row],[Sales Status]]="Achieved",W13="Excellent"),
        "Star",
        "Achiever"
    )
)</f>
        <v>Achiever</v>
      </c>
      <c r="X12" s="46" t="str">
        <f t="shared" si="1"/>
        <v>Millennial</v>
      </c>
      <c r="Y12" s="46" t="str">
        <f t="shared" si="2"/>
        <v>Premium</v>
      </c>
    </row>
    <row r="13" spans="1:25" ht="15" customHeight="1">
      <c r="A13" s="7" t="s">
        <v>71</v>
      </c>
      <c r="B13" s="8" t="s">
        <v>72</v>
      </c>
      <c r="C13" s="7" t="s">
        <v>53</v>
      </c>
      <c r="D13" s="7" t="e">
        <f ca="1">SUM(Employee_Sales_Data!M4:M53,"&gt;5",Employee_Sales_Data!H)</f>
        <v>#VALUE!</v>
      </c>
      <c r="E13" s="7" t="s">
        <v>39</v>
      </c>
      <c r="F13" s="7">
        <v>29</v>
      </c>
      <c r="G13" s="7" t="s">
        <v>73</v>
      </c>
      <c r="H13" s="9">
        <v>85000</v>
      </c>
      <c r="I13" s="9">
        <v>0</v>
      </c>
      <c r="J13" s="9">
        <v>0</v>
      </c>
      <c r="K13" s="7" t="s">
        <v>41</v>
      </c>
      <c r="L13" s="10" t="s">
        <v>34</v>
      </c>
      <c r="M13" s="7">
        <v>4</v>
      </c>
      <c r="N13" s="45">
        <v>8500</v>
      </c>
      <c r="O13" s="42" t="str">
        <f t="shared" si="3"/>
        <v>No Bonus</v>
      </c>
      <c r="P13" s="42" t="str">
        <f>IF(Employee_Sales_Data!I13&gt;Employee_Sales_Data!J13,"Target Achieved","Target Missed")</f>
        <v>Target Missed</v>
      </c>
      <c r="Q13" s="42" t="str">
        <f t="shared" si="4"/>
        <v>Senoir Pay Band</v>
      </c>
      <c r="R13" s="42" t="str">
        <f t="shared" si="5"/>
        <v>Current Employee</v>
      </c>
      <c r="S13" s="46" t="str">
        <f t="shared" si="6"/>
        <v>Young Talent</v>
      </c>
      <c r="T13" s="46" t="str">
        <f t="shared" si="0"/>
        <v>Grade A</v>
      </c>
      <c r="U13" s="46" t="str">
        <f t="shared" si="7"/>
        <v>4</v>
      </c>
      <c r="V13" s="46" t="str">
        <f t="shared" si="8"/>
        <v>Mid Level</v>
      </c>
      <c r="W13" s="46" t="str">
        <f>IF(Table1[[#This Row],[Sales Status]]="Target Missed","Needs Improvement",IF(AND(Table1[[#This Row],[Sales Status]]="Achieved",W14="Excellent"),
        "Star",
        "Achiever"
    )
)</f>
        <v>Needs Improvement</v>
      </c>
      <c r="X13" s="46" t="str">
        <f t="shared" si="1"/>
        <v>Gen-Z</v>
      </c>
      <c r="Y13" s="46" t="str">
        <f t="shared" si="2"/>
        <v>Premium</v>
      </c>
    </row>
    <row r="14" spans="1:25" ht="15" customHeight="1">
      <c r="A14" s="3" t="s">
        <v>74</v>
      </c>
      <c r="B14" s="4" t="s">
        <v>75</v>
      </c>
      <c r="C14" s="3" t="s">
        <v>29</v>
      </c>
      <c r="D14" s="3" t="s">
        <v>45</v>
      </c>
      <c r="E14" s="3" t="s">
        <v>31</v>
      </c>
      <c r="F14" s="3">
        <v>45</v>
      </c>
      <c r="G14" s="3" t="s">
        <v>76</v>
      </c>
      <c r="H14" s="5">
        <v>55000</v>
      </c>
      <c r="I14" s="5">
        <v>142000</v>
      </c>
      <c r="J14" s="5">
        <v>180000</v>
      </c>
      <c r="K14" s="3" t="s">
        <v>77</v>
      </c>
      <c r="L14" s="6" t="s">
        <v>34</v>
      </c>
      <c r="M14" s="3">
        <v>12</v>
      </c>
      <c r="N14" s="44">
        <v>0</v>
      </c>
      <c r="O14" s="42" t="str">
        <f t="shared" si="3"/>
        <v>Bonus Received</v>
      </c>
      <c r="P14" s="42" t="str">
        <f>IF(Employee_Sales_Data!I14&gt;Employee_Sales_Data!J14,"Target Achieved","Target Missed")</f>
        <v>Target Missed</v>
      </c>
      <c r="Q14" s="42" t="str">
        <f t="shared" si="4"/>
        <v>Junior Pay Band</v>
      </c>
      <c r="R14" s="42" t="str">
        <f t="shared" si="5"/>
        <v>Current Employee</v>
      </c>
      <c r="S14" s="46" t="str">
        <f t="shared" si="6"/>
        <v>Vetaran</v>
      </c>
      <c r="T14" s="46" t="str">
        <f t="shared" si="0"/>
        <v>Grade B</v>
      </c>
      <c r="U14" s="46" t="str">
        <f t="shared" si="7"/>
        <v>2</v>
      </c>
      <c r="V14" s="46" t="str">
        <f t="shared" si="8"/>
        <v>Senior</v>
      </c>
      <c r="W14" s="46" t="str">
        <f>IF(Table1[[#This Row],[Sales Status]]="Target Missed","Needs Improvement",IF(AND(Table1[[#This Row],[Sales Status]]="Achieved",W15="Excellent"),
        "Star",
        "Achiever"
    )
)</f>
        <v>Needs Improvement</v>
      </c>
      <c r="X14" s="46" t="str">
        <f t="shared" si="1"/>
        <v>Gen X</v>
      </c>
      <c r="Y14" s="46" t="str">
        <f t="shared" si="2"/>
        <v>No Bonus</v>
      </c>
    </row>
    <row r="15" spans="1:25" ht="15" customHeight="1">
      <c r="A15" s="7" t="s">
        <v>78</v>
      </c>
      <c r="B15" s="8" t="s">
        <v>79</v>
      </c>
      <c r="C15" s="7" t="s">
        <v>44</v>
      </c>
      <c r="D15" s="7" t="s">
        <v>54</v>
      </c>
      <c r="E15" s="7" t="s">
        <v>39</v>
      </c>
      <c r="F15" s="7">
        <v>32</v>
      </c>
      <c r="G15" s="7" t="s">
        <v>80</v>
      </c>
      <c r="H15" s="9">
        <v>80000</v>
      </c>
      <c r="I15" s="9">
        <v>0</v>
      </c>
      <c r="J15" s="9">
        <v>0</v>
      </c>
      <c r="K15" s="7" t="s">
        <v>33</v>
      </c>
      <c r="L15" s="10" t="s">
        <v>34</v>
      </c>
      <c r="M15" s="7">
        <v>6</v>
      </c>
      <c r="N15" s="45">
        <v>9600</v>
      </c>
      <c r="O15" s="42" t="str">
        <f t="shared" si="3"/>
        <v>Bonus Received</v>
      </c>
      <c r="P15" s="42" t="str">
        <f>IF(Employee_Sales_Data!I15&gt;Employee_Sales_Data!J15,"Target Achieved","Target Missed")</f>
        <v>Target Missed</v>
      </c>
      <c r="Q15" s="42" t="str">
        <f t="shared" si="4"/>
        <v>Junior Pay Band</v>
      </c>
      <c r="R15" s="42" t="str">
        <f t="shared" si="5"/>
        <v>Current Employee</v>
      </c>
      <c r="S15" s="46" t="str">
        <f t="shared" si="6"/>
        <v>Young Talent</v>
      </c>
      <c r="T15" s="46" t="str">
        <f t="shared" si="0"/>
        <v>Grade A</v>
      </c>
      <c r="U15" s="46" t="str">
        <f t="shared" si="7"/>
        <v>5</v>
      </c>
      <c r="V15" s="46" t="str">
        <f t="shared" si="8"/>
        <v>Mid Level</v>
      </c>
      <c r="W15" s="46" t="str">
        <f>IF(Table1[[#This Row],[Sales Status]]="Target Missed","Needs Improvement",IF(AND(Table1[[#This Row],[Sales Status]]="Achieved",W16="Excellent"),
        "Star",
        "Achiever"
    )
)</f>
        <v>Needs Improvement</v>
      </c>
      <c r="X15" s="46" t="str">
        <f t="shared" si="1"/>
        <v>Millennial</v>
      </c>
      <c r="Y15" s="46" t="str">
        <f t="shared" si="2"/>
        <v>Premium</v>
      </c>
    </row>
    <row r="16" spans="1:25" ht="15" customHeight="1">
      <c r="A16" s="3" t="s">
        <v>81</v>
      </c>
      <c r="B16" s="4" t="s">
        <v>82</v>
      </c>
      <c r="C16" s="3" t="s">
        <v>29</v>
      </c>
      <c r="D16" s="3" t="s">
        <v>38</v>
      </c>
      <c r="E16" s="3" t="s">
        <v>31</v>
      </c>
      <c r="F16" s="3">
        <v>24</v>
      </c>
      <c r="G16" s="3" t="s">
        <v>83</v>
      </c>
      <c r="H16" s="5">
        <v>42000</v>
      </c>
      <c r="I16" s="5">
        <v>175000</v>
      </c>
      <c r="J16" s="5">
        <v>170000</v>
      </c>
      <c r="K16" s="3" t="s">
        <v>41</v>
      </c>
      <c r="L16" s="6" t="s">
        <v>34</v>
      </c>
      <c r="M16" s="3">
        <v>1</v>
      </c>
      <c r="N16" s="44">
        <v>7000</v>
      </c>
      <c r="O16" s="42" t="str">
        <f t="shared" si="3"/>
        <v>Bonus Received</v>
      </c>
      <c r="P16" s="42" t="str">
        <f>IF(Employee_Sales_Data!I16&gt;Employee_Sales_Data!J16,"Target Achieved","Target Missed")</f>
        <v>Target Achieved</v>
      </c>
      <c r="Q16" s="42" t="str">
        <f t="shared" si="4"/>
        <v>Junior Pay Band</v>
      </c>
      <c r="R16" s="42" t="str">
        <f t="shared" si="5"/>
        <v>Current Employee</v>
      </c>
      <c r="S16" s="46" t="str">
        <f t="shared" si="6"/>
        <v>Young Talent</v>
      </c>
      <c r="T16" s="46" t="str">
        <f t="shared" si="0"/>
        <v>Grade C</v>
      </c>
      <c r="U16" s="46" t="str">
        <f t="shared" si="7"/>
        <v>4</v>
      </c>
      <c r="V16" s="46" t="str">
        <f t="shared" si="8"/>
        <v>Fresher</v>
      </c>
      <c r="W16" s="46" t="str">
        <f>IF(Table1[[#This Row],[Sales Status]]="Target Missed","Needs Improvement",IF(AND(Table1[[#This Row],[Sales Status]]="Achieved",W17="Excellent"),
        "Star",
        "Achiever"
    )
)</f>
        <v>Achiever</v>
      </c>
      <c r="X16" s="46" t="str">
        <f t="shared" si="1"/>
        <v>Gen-Z</v>
      </c>
      <c r="Y16" s="46" t="str">
        <f t="shared" si="2"/>
        <v>Stanadard</v>
      </c>
    </row>
    <row r="17" spans="1:25" ht="15" customHeight="1">
      <c r="A17" s="7" t="s">
        <v>84</v>
      </c>
      <c r="B17" s="8" t="s">
        <v>85</v>
      </c>
      <c r="C17" s="7" t="s">
        <v>53</v>
      </c>
      <c r="D17" s="7" t="s">
        <v>69</v>
      </c>
      <c r="E17" s="7" t="s">
        <v>39</v>
      </c>
      <c r="F17" s="7">
        <v>40</v>
      </c>
      <c r="G17" s="7" t="s">
        <v>86</v>
      </c>
      <c r="H17" s="9">
        <v>95000</v>
      </c>
      <c r="I17" s="9">
        <v>0</v>
      </c>
      <c r="J17" s="9">
        <v>0</v>
      </c>
      <c r="K17" s="7" t="s">
        <v>33</v>
      </c>
      <c r="L17" s="10" t="s">
        <v>34</v>
      </c>
      <c r="M17" s="7">
        <v>9</v>
      </c>
      <c r="N17" s="45">
        <v>12000</v>
      </c>
      <c r="O17" s="42" t="str">
        <f t="shared" si="3"/>
        <v>No Bonus</v>
      </c>
      <c r="P17" s="42" t="str">
        <f>IF(Employee_Sales_Data!I17&gt;Employee_Sales_Data!J17,"Target Achieved","Target Missed")</f>
        <v>Target Missed</v>
      </c>
      <c r="Q17" s="42" t="str">
        <f t="shared" si="4"/>
        <v>Senoir Pay Band</v>
      </c>
      <c r="R17" s="42" t="str">
        <f t="shared" si="5"/>
        <v>Current Employee</v>
      </c>
      <c r="S17" s="46" t="str">
        <f t="shared" si="6"/>
        <v>Young Talent</v>
      </c>
      <c r="T17" s="46" t="str">
        <f t="shared" si="0"/>
        <v>Grade A</v>
      </c>
      <c r="U17" s="46" t="str">
        <f t="shared" si="7"/>
        <v>5</v>
      </c>
      <c r="V17" s="46" t="str">
        <f t="shared" si="8"/>
        <v>Senior</v>
      </c>
      <c r="W17" s="46" t="str">
        <f>IF(Table1[[#This Row],[Sales Status]]="Target Missed","Needs Improvement",IF(AND(Table1[[#This Row],[Sales Status]]="Achieved",W18="Excellent"),
        "Star",
        "Achiever"
    )
)</f>
        <v>Needs Improvement</v>
      </c>
      <c r="X17" s="46" t="str">
        <f t="shared" si="1"/>
        <v>Gen X</v>
      </c>
      <c r="Y17" s="46" t="str">
        <f t="shared" si="2"/>
        <v>Premium</v>
      </c>
    </row>
    <row r="18" spans="1:25" ht="15" customHeight="1">
      <c r="A18" s="3" t="s">
        <v>87</v>
      </c>
      <c r="B18" s="4" t="s">
        <v>88</v>
      </c>
      <c r="C18" s="3" t="s">
        <v>37</v>
      </c>
      <c r="D18" s="3" t="s">
        <v>30</v>
      </c>
      <c r="E18" s="3" t="s">
        <v>31</v>
      </c>
      <c r="F18" s="3">
        <v>36</v>
      </c>
      <c r="G18" s="3" t="s">
        <v>89</v>
      </c>
      <c r="H18" s="5">
        <v>65000</v>
      </c>
      <c r="I18" s="5">
        <v>0</v>
      </c>
      <c r="J18" s="5">
        <v>0</v>
      </c>
      <c r="K18" s="3" t="s">
        <v>41</v>
      </c>
      <c r="L18" s="12" t="s">
        <v>66</v>
      </c>
      <c r="M18" s="3">
        <v>8</v>
      </c>
      <c r="N18" s="44">
        <v>0</v>
      </c>
      <c r="O18" s="42" t="str">
        <f t="shared" si="3"/>
        <v>Bonus Received</v>
      </c>
      <c r="P18" s="42" t="str">
        <f>IF(Employee_Sales_Data!I18&gt;Employee_Sales_Data!J18,"Target Achieved","Target Missed")</f>
        <v>Target Missed</v>
      </c>
      <c r="Q18" s="42" t="str">
        <f t="shared" si="4"/>
        <v>Junior Pay Band</v>
      </c>
      <c r="R18" s="42" t="str">
        <f t="shared" si="5"/>
        <v>Ex-Employee</v>
      </c>
      <c r="S18" s="46" t="str">
        <f t="shared" si="6"/>
        <v>Young Talent</v>
      </c>
      <c r="T18" s="46" t="str">
        <f t="shared" si="0"/>
        <v>Grade B</v>
      </c>
      <c r="U18" s="46" t="str">
        <f t="shared" si="7"/>
        <v>4</v>
      </c>
      <c r="V18" s="46" t="str">
        <f t="shared" si="8"/>
        <v>Senior</v>
      </c>
      <c r="W18" s="46" t="str">
        <f>IF(Table1[[#This Row],[Sales Status]]="Target Missed","Needs Improvement",IF(AND(Table1[[#This Row],[Sales Status]]="Achieved",W19="Excellent"),
        "Star",
        "Achiever"
    )
)</f>
        <v>Needs Improvement</v>
      </c>
      <c r="X18" s="46" t="str">
        <f t="shared" si="1"/>
        <v>Millennial</v>
      </c>
      <c r="Y18" s="46" t="str">
        <f t="shared" si="2"/>
        <v>No Bonus</v>
      </c>
    </row>
    <row r="19" spans="1:25" ht="15" customHeight="1">
      <c r="A19" s="7" t="s">
        <v>90</v>
      </c>
      <c r="B19" s="8" t="s">
        <v>91</v>
      </c>
      <c r="C19" s="7" t="s">
        <v>29</v>
      </c>
      <c r="D19" s="7" t="s">
        <v>64</v>
      </c>
      <c r="E19" s="7" t="s">
        <v>39</v>
      </c>
      <c r="F19" s="7">
        <v>28</v>
      </c>
      <c r="G19" s="7" t="s">
        <v>92</v>
      </c>
      <c r="H19" s="9">
        <v>49000</v>
      </c>
      <c r="I19" s="9">
        <v>198000</v>
      </c>
      <c r="J19" s="9">
        <v>190000</v>
      </c>
      <c r="K19" s="7" t="s">
        <v>41</v>
      </c>
      <c r="L19" s="10" t="s">
        <v>34</v>
      </c>
      <c r="M19" s="7">
        <v>2</v>
      </c>
      <c r="N19" s="45">
        <v>8500</v>
      </c>
      <c r="O19" s="42" t="str">
        <f t="shared" si="3"/>
        <v>Bonus Received</v>
      </c>
      <c r="P19" s="42" t="str">
        <f>IF(Employee_Sales_Data!I19&gt;Employee_Sales_Data!J19,"Target Achieved","Target Missed")</f>
        <v>Target Achieved</v>
      </c>
      <c r="Q19" s="42" t="str">
        <f t="shared" si="4"/>
        <v>Junior Pay Band</v>
      </c>
      <c r="R19" s="42" t="str">
        <f t="shared" si="5"/>
        <v>Current Employee</v>
      </c>
      <c r="S19" s="46" t="str">
        <f t="shared" si="6"/>
        <v>Young Talent</v>
      </c>
      <c r="T19" s="46" t="str">
        <f t="shared" si="0"/>
        <v>Grade C</v>
      </c>
      <c r="U19" s="46" t="str">
        <f t="shared" si="7"/>
        <v>4</v>
      </c>
      <c r="V19" s="46" t="str">
        <f t="shared" si="8"/>
        <v>Fresher</v>
      </c>
      <c r="W19" s="46" t="str">
        <f>IF(Table1[[#This Row],[Sales Status]]="Target Missed","Needs Improvement",IF(AND(Table1[[#This Row],[Sales Status]]="Achieved",W20="Excellent"),
        "Star",
        "Achiever"
    )
)</f>
        <v>Achiever</v>
      </c>
      <c r="X19" s="46" t="str">
        <f t="shared" si="1"/>
        <v>Gen-Z</v>
      </c>
      <c r="Y19" s="46" t="str">
        <f t="shared" si="2"/>
        <v>Premium</v>
      </c>
    </row>
    <row r="20" spans="1:25" ht="15" customHeight="1">
      <c r="A20" s="3" t="s">
        <v>93</v>
      </c>
      <c r="B20" s="4" t="s">
        <v>94</v>
      </c>
      <c r="C20" s="3" t="s">
        <v>44</v>
      </c>
      <c r="D20" s="3" t="s">
        <v>45</v>
      </c>
      <c r="E20" s="3" t="s">
        <v>31</v>
      </c>
      <c r="F20" s="3">
        <v>31</v>
      </c>
      <c r="G20" s="3" t="s">
        <v>95</v>
      </c>
      <c r="H20" s="5">
        <v>82000</v>
      </c>
      <c r="I20" s="5">
        <v>0</v>
      </c>
      <c r="J20" s="5">
        <v>0</v>
      </c>
      <c r="K20" s="3" t="s">
        <v>33</v>
      </c>
      <c r="L20" s="6" t="s">
        <v>34</v>
      </c>
      <c r="M20" s="3">
        <v>5</v>
      </c>
      <c r="N20" s="44">
        <v>9800</v>
      </c>
      <c r="O20" s="42" t="str">
        <f t="shared" si="3"/>
        <v>No Bonus</v>
      </c>
      <c r="P20" s="42" t="str">
        <f>IF(Employee_Sales_Data!I20&gt;Employee_Sales_Data!J20,"Target Achieved","Target Missed")</f>
        <v>Target Missed</v>
      </c>
      <c r="Q20" s="42" t="str">
        <f t="shared" si="4"/>
        <v>Senoir Pay Band</v>
      </c>
      <c r="R20" s="42" t="str">
        <f t="shared" si="5"/>
        <v>Current Employee</v>
      </c>
      <c r="S20" s="46" t="str">
        <f t="shared" si="6"/>
        <v>Young Talent</v>
      </c>
      <c r="T20" s="46" t="str">
        <f t="shared" si="0"/>
        <v>Grade A</v>
      </c>
      <c r="U20" s="46" t="str">
        <f t="shared" si="7"/>
        <v>5</v>
      </c>
      <c r="V20" s="46" t="str">
        <f t="shared" si="8"/>
        <v>Mid Level</v>
      </c>
      <c r="W20" s="46" t="str">
        <f>IF(Table1[[#This Row],[Sales Status]]="Target Missed","Needs Improvement",IF(AND(Table1[[#This Row],[Sales Status]]="Achieved",W21="Excellent"),
        "Star",
        "Achiever"
    )
)</f>
        <v>Needs Improvement</v>
      </c>
      <c r="X20" s="46" t="str">
        <f t="shared" si="1"/>
        <v>Millennial</v>
      </c>
      <c r="Y20" s="46" t="str">
        <f t="shared" si="2"/>
        <v>Premium</v>
      </c>
    </row>
    <row r="21" spans="1:25" ht="15" customHeight="1">
      <c r="A21" s="7" t="s">
        <v>96</v>
      </c>
      <c r="B21" s="8" t="s">
        <v>97</v>
      </c>
      <c r="C21" s="7" t="s">
        <v>29</v>
      </c>
      <c r="D21" s="7" t="s">
        <v>30</v>
      </c>
      <c r="E21" s="7" t="s">
        <v>39</v>
      </c>
      <c r="F21" s="7">
        <v>37</v>
      </c>
      <c r="G21" s="7" t="s">
        <v>98</v>
      </c>
      <c r="H21" s="9">
        <v>60000</v>
      </c>
      <c r="I21" s="9">
        <v>155000</v>
      </c>
      <c r="J21" s="9">
        <v>180000</v>
      </c>
      <c r="K21" s="7" t="s">
        <v>50</v>
      </c>
      <c r="L21" s="10" t="s">
        <v>34</v>
      </c>
      <c r="M21" s="7">
        <v>8</v>
      </c>
      <c r="N21" s="45">
        <v>0</v>
      </c>
      <c r="O21" s="42" t="str">
        <f t="shared" si="3"/>
        <v>Bonus Received</v>
      </c>
      <c r="P21" s="42" t="str">
        <f>IF(Employee_Sales_Data!I21&gt;Employee_Sales_Data!J21,"Target Achieved","Target Missed")</f>
        <v>Target Missed</v>
      </c>
      <c r="Q21" s="42" t="str">
        <f t="shared" si="4"/>
        <v>Junior Pay Band</v>
      </c>
      <c r="R21" s="42" t="str">
        <f t="shared" si="5"/>
        <v>Current Employee</v>
      </c>
      <c r="S21" s="46" t="str">
        <f t="shared" si="6"/>
        <v>Young Talent</v>
      </c>
      <c r="T21" s="46" t="str">
        <f t="shared" si="0"/>
        <v>Grade B</v>
      </c>
      <c r="U21" s="46" t="str">
        <f t="shared" si="7"/>
        <v>3</v>
      </c>
      <c r="V21" s="46" t="str">
        <f t="shared" si="8"/>
        <v>Senior</v>
      </c>
      <c r="W21" s="46" t="str">
        <f>IF(Table1[[#This Row],[Sales Status]]="Target Missed","Needs Improvement",IF(AND(Table1[[#This Row],[Sales Status]]="Achieved",W22="Excellent"),
        "Star",
        "Achiever"
    )
)</f>
        <v>Needs Improvement</v>
      </c>
      <c r="X21" s="46" t="str">
        <f t="shared" si="1"/>
        <v>Millennial</v>
      </c>
      <c r="Y21" s="46" t="str">
        <f t="shared" si="2"/>
        <v>No Bonus</v>
      </c>
    </row>
    <row r="22" spans="1:25" ht="15" customHeight="1">
      <c r="A22" s="3" t="s">
        <v>99</v>
      </c>
      <c r="B22" s="4" t="s">
        <v>100</v>
      </c>
      <c r="C22" s="3" t="s">
        <v>53</v>
      </c>
      <c r="D22" s="3" t="s">
        <v>38</v>
      </c>
      <c r="E22" s="3" t="s">
        <v>31</v>
      </c>
      <c r="F22" s="3">
        <v>44</v>
      </c>
      <c r="G22" s="3" t="s">
        <v>101</v>
      </c>
      <c r="H22" s="5">
        <v>98000</v>
      </c>
      <c r="I22" s="5">
        <v>0</v>
      </c>
      <c r="J22" s="5">
        <v>0</v>
      </c>
      <c r="K22" s="3" t="s">
        <v>41</v>
      </c>
      <c r="L22" s="6" t="s">
        <v>34</v>
      </c>
      <c r="M22" s="3">
        <v>11</v>
      </c>
      <c r="N22" s="44">
        <v>11000</v>
      </c>
      <c r="O22" s="42" t="str">
        <f t="shared" si="3"/>
        <v>Bonus Received</v>
      </c>
      <c r="P22" s="42" t="str">
        <f>IF(Employee_Sales_Data!I22&gt;Employee_Sales_Data!J22,"Target Achieved","Target Missed")</f>
        <v>Target Missed</v>
      </c>
      <c r="Q22" s="42" t="str">
        <f t="shared" si="4"/>
        <v>Senoir Pay Band</v>
      </c>
      <c r="R22" s="42" t="str">
        <f t="shared" si="5"/>
        <v>Current Employee</v>
      </c>
      <c r="S22" s="46" t="str">
        <f t="shared" si="6"/>
        <v>Vetaran</v>
      </c>
      <c r="T22" s="46" t="str">
        <f t="shared" si="0"/>
        <v>Grade A</v>
      </c>
      <c r="U22" s="46" t="str">
        <f t="shared" si="7"/>
        <v>4</v>
      </c>
      <c r="V22" s="46" t="str">
        <f t="shared" si="8"/>
        <v>Senior</v>
      </c>
      <c r="W22" s="46" t="str">
        <f>IF(Table1[[#This Row],[Sales Status]]="Target Missed","Needs Improvement",IF(AND(Table1[[#This Row],[Sales Status]]="Achieved",W23="Excellent"),
        "Star",
        "Achiever"
    )
)</f>
        <v>Needs Improvement</v>
      </c>
      <c r="X22" s="46" t="str">
        <f t="shared" si="1"/>
        <v>Gen X</v>
      </c>
      <c r="Y22" s="46" t="str">
        <f t="shared" si="2"/>
        <v>Premium</v>
      </c>
    </row>
    <row r="23" spans="1:25" ht="15" customHeight="1">
      <c r="A23" s="7" t="s">
        <v>102</v>
      </c>
      <c r="B23" s="8" t="s">
        <v>103</v>
      </c>
      <c r="C23" s="7" t="s">
        <v>29</v>
      </c>
      <c r="D23" s="7" t="s">
        <v>54</v>
      </c>
      <c r="E23" s="7" t="s">
        <v>39</v>
      </c>
      <c r="F23" s="7">
        <v>25</v>
      </c>
      <c r="G23" s="7" t="s">
        <v>104</v>
      </c>
      <c r="H23" s="9">
        <v>44000</v>
      </c>
      <c r="I23" s="9">
        <v>220000</v>
      </c>
      <c r="J23" s="9">
        <v>200000</v>
      </c>
      <c r="K23" s="7" t="s">
        <v>33</v>
      </c>
      <c r="L23" s="10" t="s">
        <v>34</v>
      </c>
      <c r="M23" s="7">
        <v>1</v>
      </c>
      <c r="N23" s="45">
        <v>10000</v>
      </c>
      <c r="O23" s="42" t="str">
        <f t="shared" si="3"/>
        <v>Bonus Received</v>
      </c>
      <c r="P23" s="42" t="str">
        <f>IF(Employee_Sales_Data!I23&gt;Employee_Sales_Data!J23,"Target Achieved","Target Missed")</f>
        <v>Target Achieved</v>
      </c>
      <c r="Q23" s="42" t="str">
        <f t="shared" si="4"/>
        <v>Junior Pay Band</v>
      </c>
      <c r="R23" s="42" t="str">
        <f t="shared" si="5"/>
        <v>Current Employee</v>
      </c>
      <c r="S23" s="46" t="str">
        <f t="shared" si="6"/>
        <v>Young Talent</v>
      </c>
      <c r="T23" s="46" t="str">
        <f t="shared" si="0"/>
        <v>Grade C</v>
      </c>
      <c r="U23" s="46" t="str">
        <f t="shared" si="7"/>
        <v>5</v>
      </c>
      <c r="V23" s="46" t="str">
        <f t="shared" si="8"/>
        <v>Fresher</v>
      </c>
      <c r="W23" s="46" t="str">
        <f>IF(Table1[[#This Row],[Sales Status]]="Target Missed","Needs Improvement",IF(AND(Table1[[#This Row],[Sales Status]]="Achieved",W24="Excellent"),
        "Star",
        "Achiever"
    )
)</f>
        <v>Achiever</v>
      </c>
      <c r="X23" s="46" t="str">
        <f t="shared" si="1"/>
        <v>Gen-Z</v>
      </c>
      <c r="Y23" s="46" t="str">
        <f t="shared" si="2"/>
        <v>Premium</v>
      </c>
    </row>
    <row r="24" spans="1:25" ht="15" customHeight="1">
      <c r="A24" s="3" t="s">
        <v>105</v>
      </c>
      <c r="B24" s="4" t="s">
        <v>106</v>
      </c>
      <c r="C24" s="3" t="s">
        <v>37</v>
      </c>
      <c r="D24" s="3" t="s">
        <v>45</v>
      </c>
      <c r="E24" s="3" t="s">
        <v>31</v>
      </c>
      <c r="F24" s="3">
        <v>50</v>
      </c>
      <c r="G24" s="3" t="s">
        <v>107</v>
      </c>
      <c r="H24" s="5">
        <v>78000</v>
      </c>
      <c r="I24" s="5">
        <v>0</v>
      </c>
      <c r="J24" s="5">
        <v>0</v>
      </c>
      <c r="K24" s="3" t="s">
        <v>50</v>
      </c>
      <c r="L24" s="6" t="s">
        <v>34</v>
      </c>
      <c r="M24" s="3">
        <v>14</v>
      </c>
      <c r="N24" s="44">
        <v>7800</v>
      </c>
      <c r="O24" s="42" t="str">
        <f t="shared" si="3"/>
        <v>No Bonus</v>
      </c>
      <c r="P24" s="42" t="str">
        <f>IF(Employee_Sales_Data!I24&gt;Employee_Sales_Data!J24,"Target Achieved","Target Missed")</f>
        <v>Target Missed</v>
      </c>
      <c r="Q24" s="42" t="str">
        <f t="shared" si="4"/>
        <v>Junior Pay Band</v>
      </c>
      <c r="R24" s="42" t="str">
        <f t="shared" si="5"/>
        <v>Current Employee</v>
      </c>
      <c r="S24" s="46" t="str">
        <f t="shared" si="6"/>
        <v>Vetaran</v>
      </c>
      <c r="T24" s="46" t="str">
        <f t="shared" si="0"/>
        <v>Grade B</v>
      </c>
      <c r="U24" s="46" t="str">
        <f t="shared" si="7"/>
        <v>3</v>
      </c>
      <c r="V24" s="46" t="str">
        <f t="shared" si="8"/>
        <v>Senior</v>
      </c>
      <c r="W24" s="46" t="str">
        <f>IF(Table1[[#This Row],[Sales Status]]="Target Missed","Needs Improvement",IF(AND(Table1[[#This Row],[Sales Status]]="Achieved",W25="Excellent"),
        "Star",
        "Achiever"
    )
)</f>
        <v>Needs Improvement</v>
      </c>
      <c r="X24" s="46" t="str">
        <f t="shared" si="1"/>
        <v>Gen X</v>
      </c>
      <c r="Y24" s="46" t="str">
        <f t="shared" si="2"/>
        <v>Stanadard</v>
      </c>
    </row>
    <row r="25" spans="1:25" ht="15" customHeight="1">
      <c r="A25" s="7" t="s">
        <v>108</v>
      </c>
      <c r="B25" s="8" t="s">
        <v>109</v>
      </c>
      <c r="C25" s="7" t="s">
        <v>29</v>
      </c>
      <c r="D25" s="7" t="s">
        <v>69</v>
      </c>
      <c r="E25" s="7" t="s">
        <v>39</v>
      </c>
      <c r="F25" s="7">
        <v>30</v>
      </c>
      <c r="G25" s="7" t="s">
        <v>110</v>
      </c>
      <c r="H25" s="9">
        <v>54000</v>
      </c>
      <c r="I25" s="9">
        <v>168000</v>
      </c>
      <c r="J25" s="9">
        <v>170000</v>
      </c>
      <c r="K25" s="7" t="s">
        <v>50</v>
      </c>
      <c r="L25" s="10" t="s">
        <v>34</v>
      </c>
      <c r="M25" s="7">
        <v>5</v>
      </c>
      <c r="N25" s="45">
        <v>0</v>
      </c>
      <c r="O25" s="42" t="str">
        <f t="shared" si="3"/>
        <v>Bonus Received</v>
      </c>
      <c r="P25" s="42" t="str">
        <f>IF(Employee_Sales_Data!I25&gt;Employee_Sales_Data!J25,"Target Achieved","Target Missed")</f>
        <v>Target Missed</v>
      </c>
      <c r="Q25" s="42" t="str">
        <f t="shared" si="4"/>
        <v>Junior Pay Band</v>
      </c>
      <c r="R25" s="42" t="str">
        <f t="shared" si="5"/>
        <v>Current Employee</v>
      </c>
      <c r="S25" s="46" t="str">
        <f t="shared" si="6"/>
        <v>Young Talent</v>
      </c>
      <c r="T25" s="46" t="str">
        <f t="shared" si="0"/>
        <v>Grade B</v>
      </c>
      <c r="U25" s="46" t="str">
        <f t="shared" si="7"/>
        <v>3</v>
      </c>
      <c r="V25" s="46" t="str">
        <f t="shared" si="8"/>
        <v>Mid Level</v>
      </c>
      <c r="W25" s="46" t="str">
        <f>IF(Table1[[#This Row],[Sales Status]]="Target Missed","Needs Improvement",IF(AND(Table1[[#This Row],[Sales Status]]="Achieved",W26="Excellent"),
        "Star",
        "Achiever"
    )
)</f>
        <v>Needs Improvement</v>
      </c>
      <c r="X25" s="46" t="str">
        <f t="shared" si="1"/>
        <v>Millennial</v>
      </c>
      <c r="Y25" s="46" t="str">
        <f t="shared" si="2"/>
        <v>No Bonus</v>
      </c>
    </row>
    <row r="26" spans="1:25" ht="15" customHeight="1">
      <c r="A26" s="3" t="s">
        <v>111</v>
      </c>
      <c r="B26" s="4" t="s">
        <v>112</v>
      </c>
      <c r="C26" s="3" t="s">
        <v>44</v>
      </c>
      <c r="D26" s="3" t="s">
        <v>30</v>
      </c>
      <c r="E26" s="3" t="s">
        <v>31</v>
      </c>
      <c r="F26" s="3">
        <v>29</v>
      </c>
      <c r="G26" s="3" t="s">
        <v>113</v>
      </c>
      <c r="H26" s="5">
        <v>73000</v>
      </c>
      <c r="I26" s="5">
        <v>0</v>
      </c>
      <c r="J26" s="5">
        <v>0</v>
      </c>
      <c r="K26" s="3" t="s">
        <v>41</v>
      </c>
      <c r="L26" s="6" t="s">
        <v>34</v>
      </c>
      <c r="M26" s="3">
        <v>4</v>
      </c>
      <c r="N26" s="44">
        <v>7300</v>
      </c>
      <c r="O26" s="42" t="str">
        <f t="shared" si="3"/>
        <v>Bonus Received</v>
      </c>
      <c r="P26" s="42" t="str">
        <f>IF(Employee_Sales_Data!I26&gt;Employee_Sales_Data!J26,"Target Achieved","Target Missed")</f>
        <v>Target Missed</v>
      </c>
      <c r="Q26" s="42" t="str">
        <f t="shared" si="4"/>
        <v>Junior Pay Band</v>
      </c>
      <c r="R26" s="42" t="str">
        <f t="shared" si="5"/>
        <v>Current Employee</v>
      </c>
      <c r="S26" s="46" t="str">
        <f t="shared" si="6"/>
        <v>Young Talent</v>
      </c>
      <c r="T26" s="46" t="str">
        <f t="shared" si="0"/>
        <v>Grade B</v>
      </c>
      <c r="U26" s="46" t="str">
        <f t="shared" si="7"/>
        <v>4</v>
      </c>
      <c r="V26" s="46" t="str">
        <f t="shared" si="8"/>
        <v>Mid Level</v>
      </c>
      <c r="W26" s="46" t="str">
        <f>IF(Table1[[#This Row],[Sales Status]]="Target Missed","Needs Improvement",IF(AND(Table1[[#This Row],[Sales Status]]="Achieved",W27="Excellent"),
        "Star",
        "Achiever"
    )
)</f>
        <v>Needs Improvement</v>
      </c>
      <c r="X26" s="46" t="str">
        <f t="shared" si="1"/>
        <v>Gen-Z</v>
      </c>
      <c r="Y26" s="46" t="str">
        <f t="shared" si="2"/>
        <v>Stanadard</v>
      </c>
    </row>
    <row r="27" spans="1:25" ht="15" customHeight="1">
      <c r="A27" s="7" t="s">
        <v>114</v>
      </c>
      <c r="B27" s="8" t="s">
        <v>115</v>
      </c>
      <c r="C27" s="7" t="s">
        <v>29</v>
      </c>
      <c r="D27" s="7" t="s">
        <v>64</v>
      </c>
      <c r="E27" s="7" t="s">
        <v>39</v>
      </c>
      <c r="F27" s="7">
        <v>34</v>
      </c>
      <c r="G27" s="7" t="s">
        <v>116</v>
      </c>
      <c r="H27" s="9">
        <v>57000</v>
      </c>
      <c r="I27" s="9">
        <v>205000</v>
      </c>
      <c r="J27" s="9">
        <v>190000</v>
      </c>
      <c r="K27" s="7" t="s">
        <v>33</v>
      </c>
      <c r="L27" s="10" t="s">
        <v>34</v>
      </c>
      <c r="M27" s="7">
        <v>6</v>
      </c>
      <c r="N27" s="45">
        <v>9500</v>
      </c>
      <c r="O27" s="42" t="str">
        <f t="shared" si="3"/>
        <v>Bonus Received</v>
      </c>
      <c r="P27" s="42" t="str">
        <f>IF(Employee_Sales_Data!I27&gt;Employee_Sales_Data!J27,"Target Achieved","Target Missed")</f>
        <v>Target Achieved</v>
      </c>
      <c r="Q27" s="42" t="str">
        <f t="shared" si="4"/>
        <v>Junior Pay Band</v>
      </c>
      <c r="R27" s="42" t="str">
        <f t="shared" si="5"/>
        <v>Current Employee</v>
      </c>
      <c r="S27" s="46" t="str">
        <f t="shared" si="6"/>
        <v>Young Talent</v>
      </c>
      <c r="T27" s="46" t="str">
        <f t="shared" si="0"/>
        <v>Grade B</v>
      </c>
      <c r="U27" s="46" t="str">
        <f t="shared" si="7"/>
        <v>5</v>
      </c>
      <c r="V27" s="46" t="str">
        <f t="shared" si="8"/>
        <v>Mid Level</v>
      </c>
      <c r="W27" s="46" t="str">
        <f>IF(Table1[[#This Row],[Sales Status]]="Target Missed","Needs Improvement",IF(AND(Table1[[#This Row],[Sales Status]]="Achieved",W28="Excellent"),
        "Star",
        "Achiever"
    )
)</f>
        <v>Achiever</v>
      </c>
      <c r="X27" s="46" t="str">
        <f t="shared" si="1"/>
        <v>Millennial</v>
      </c>
      <c r="Y27" s="46" t="str">
        <f t="shared" si="2"/>
        <v>Premium</v>
      </c>
    </row>
    <row r="28" spans="1:25" ht="15" customHeight="1">
      <c r="A28" s="3" t="s">
        <v>117</v>
      </c>
      <c r="B28" s="4" t="s">
        <v>118</v>
      </c>
      <c r="C28" s="3" t="s">
        <v>53</v>
      </c>
      <c r="D28" s="3" t="s">
        <v>54</v>
      </c>
      <c r="E28" s="3" t="s">
        <v>31</v>
      </c>
      <c r="F28" s="3">
        <v>48</v>
      </c>
      <c r="G28" s="3" t="s">
        <v>119</v>
      </c>
      <c r="H28" s="5">
        <v>105000</v>
      </c>
      <c r="I28" s="5">
        <v>0</v>
      </c>
      <c r="J28" s="5">
        <v>0</v>
      </c>
      <c r="K28" s="3" t="s">
        <v>33</v>
      </c>
      <c r="L28" s="6" t="s">
        <v>34</v>
      </c>
      <c r="M28" s="3">
        <v>13</v>
      </c>
      <c r="N28" s="44">
        <v>13500</v>
      </c>
      <c r="O28" s="42" t="str">
        <f t="shared" si="3"/>
        <v>No Bonus</v>
      </c>
      <c r="P28" s="42" t="str">
        <f>IF(Employee_Sales_Data!I28&gt;Employee_Sales_Data!J28,"Target Achieved","Target Missed")</f>
        <v>Target Missed</v>
      </c>
      <c r="Q28" s="42" t="str">
        <f t="shared" si="4"/>
        <v>Senoir Pay Band</v>
      </c>
      <c r="R28" s="42" t="str">
        <f t="shared" si="5"/>
        <v>Current Employee</v>
      </c>
      <c r="S28" s="46" t="str">
        <f t="shared" si="6"/>
        <v>Vetaran</v>
      </c>
      <c r="T28" s="46" t="str">
        <f t="shared" si="0"/>
        <v>Grade A</v>
      </c>
      <c r="U28" s="46" t="str">
        <f t="shared" si="7"/>
        <v>5</v>
      </c>
      <c r="V28" s="46" t="str">
        <f t="shared" si="8"/>
        <v>Senior</v>
      </c>
      <c r="W28" s="46" t="str">
        <f>IF(Table1[[#This Row],[Sales Status]]="Target Missed","Needs Improvement",IF(AND(Table1[[#This Row],[Sales Status]]="Achieved",W29="Excellent"),
        "Star",
        "Achiever"
    )
)</f>
        <v>Needs Improvement</v>
      </c>
      <c r="X28" s="46" t="str">
        <f t="shared" si="1"/>
        <v>Gen X</v>
      </c>
      <c r="Y28" s="46" t="str">
        <f t="shared" si="2"/>
        <v>Premium</v>
      </c>
    </row>
    <row r="29" spans="1:25" ht="15" customHeight="1">
      <c r="A29" s="7" t="s">
        <v>120</v>
      </c>
      <c r="B29" s="8" t="s">
        <v>121</v>
      </c>
      <c r="C29" s="7" t="s">
        <v>29</v>
      </c>
      <c r="D29" s="7" t="s">
        <v>38</v>
      </c>
      <c r="E29" s="7" t="s">
        <v>39</v>
      </c>
      <c r="F29" s="7">
        <v>27</v>
      </c>
      <c r="G29" s="7" t="s">
        <v>122</v>
      </c>
      <c r="H29" s="9">
        <v>46000</v>
      </c>
      <c r="I29" s="9">
        <v>178000</v>
      </c>
      <c r="J29" s="9">
        <v>180000</v>
      </c>
      <c r="K29" s="7" t="s">
        <v>50</v>
      </c>
      <c r="L29" s="10" t="s">
        <v>34</v>
      </c>
      <c r="M29" s="7">
        <v>2</v>
      </c>
      <c r="N29" s="45">
        <v>0</v>
      </c>
      <c r="O29" s="42" t="str">
        <f t="shared" si="3"/>
        <v>No Bonus</v>
      </c>
      <c r="P29" s="42" t="str">
        <f>IF(Employee_Sales_Data!I29&gt;Employee_Sales_Data!J29,"Target Achieved","Target Missed")</f>
        <v>Target Missed</v>
      </c>
      <c r="Q29" s="42" t="str">
        <f t="shared" si="4"/>
        <v>Junior Pay Band</v>
      </c>
      <c r="R29" s="42" t="str">
        <f t="shared" si="5"/>
        <v>Current Employee</v>
      </c>
      <c r="S29" s="46" t="str">
        <f t="shared" si="6"/>
        <v>Young Talent</v>
      </c>
      <c r="T29" s="46" t="str">
        <f t="shared" si="0"/>
        <v>Grade C</v>
      </c>
      <c r="U29" s="46" t="str">
        <f t="shared" si="7"/>
        <v>3</v>
      </c>
      <c r="V29" s="46" t="str">
        <f t="shared" si="8"/>
        <v>Fresher</v>
      </c>
      <c r="W29" s="46" t="str">
        <f>IF(Table1[[#This Row],[Sales Status]]="Target Missed","Needs Improvement",IF(AND(Table1[[#This Row],[Sales Status]]="Achieved",W30="Excellent"),
        "Star",
        "Achiever"
    )
)</f>
        <v>Needs Improvement</v>
      </c>
      <c r="X29" s="46" t="str">
        <f t="shared" si="1"/>
        <v>Gen-Z</v>
      </c>
      <c r="Y29" s="46" t="str">
        <f t="shared" si="2"/>
        <v>No Bonus</v>
      </c>
    </row>
    <row r="30" spans="1:25" ht="15" customHeight="1">
      <c r="A30" s="3" t="s">
        <v>123</v>
      </c>
      <c r="B30" s="4" t="s">
        <v>124</v>
      </c>
      <c r="C30" s="3" t="s">
        <v>44</v>
      </c>
      <c r="D30" s="3" t="s">
        <v>69</v>
      </c>
      <c r="E30" s="3" t="s">
        <v>31</v>
      </c>
      <c r="F30" s="3">
        <v>35</v>
      </c>
      <c r="G30" s="3" t="s">
        <v>125</v>
      </c>
      <c r="H30" s="5">
        <v>79000</v>
      </c>
      <c r="I30" s="5">
        <v>0</v>
      </c>
      <c r="J30" s="5">
        <v>0</v>
      </c>
      <c r="K30" s="3" t="s">
        <v>41</v>
      </c>
      <c r="L30" s="12" t="s">
        <v>66</v>
      </c>
      <c r="M30" s="3">
        <v>7</v>
      </c>
      <c r="N30" s="44">
        <v>0</v>
      </c>
      <c r="O30" s="42" t="str">
        <f t="shared" si="3"/>
        <v>No Bonus</v>
      </c>
      <c r="P30" s="42" t="str">
        <f>IF(Employee_Sales_Data!I30&gt;Employee_Sales_Data!J30,"Target Achieved","Target Missed")</f>
        <v>Target Missed</v>
      </c>
      <c r="Q30" s="42" t="str">
        <f t="shared" si="4"/>
        <v>Junior Pay Band</v>
      </c>
      <c r="R30" s="42" t="str">
        <f t="shared" si="5"/>
        <v>Ex-Employee</v>
      </c>
      <c r="S30" s="46" t="str">
        <f t="shared" si="6"/>
        <v>Young Talent</v>
      </c>
      <c r="T30" s="46" t="str">
        <f t="shared" si="0"/>
        <v>Grade B</v>
      </c>
      <c r="U30" s="46" t="str">
        <f t="shared" si="7"/>
        <v>4</v>
      </c>
      <c r="V30" s="46" t="str">
        <f t="shared" si="8"/>
        <v>Senior</v>
      </c>
      <c r="W30" s="46" t="str">
        <f>IF(Table1[[#This Row],[Sales Status]]="Target Missed","Needs Improvement",IF(AND(Table1[[#This Row],[Sales Status]]="Achieved",W31="Excellent"),
        "Star",
        "Achiever"
    )
)</f>
        <v>Needs Improvement</v>
      </c>
      <c r="X30" s="46" t="str">
        <f t="shared" si="1"/>
        <v>Millennial</v>
      </c>
      <c r="Y30" s="46" t="str">
        <f t="shared" si="2"/>
        <v>No Bonus</v>
      </c>
    </row>
    <row r="31" spans="1:25" ht="15" customHeight="1">
      <c r="A31" s="7" t="s">
        <v>126</v>
      </c>
      <c r="B31" s="8" t="s">
        <v>127</v>
      </c>
      <c r="C31" s="7" t="s">
        <v>29</v>
      </c>
      <c r="D31" s="7" t="s">
        <v>45</v>
      </c>
      <c r="E31" s="7" t="s">
        <v>39</v>
      </c>
      <c r="F31" s="7">
        <v>23</v>
      </c>
      <c r="G31" s="7" t="s">
        <v>128</v>
      </c>
      <c r="H31" s="9">
        <v>40000</v>
      </c>
      <c r="I31" s="9">
        <v>135000</v>
      </c>
      <c r="J31" s="9">
        <v>170000</v>
      </c>
      <c r="K31" s="7" t="s">
        <v>77</v>
      </c>
      <c r="L31" s="10" t="s">
        <v>34</v>
      </c>
      <c r="M31" s="7">
        <v>1</v>
      </c>
      <c r="N31" s="45">
        <v>0</v>
      </c>
      <c r="O31" s="42" t="str">
        <f t="shared" si="3"/>
        <v>Bonus Received</v>
      </c>
      <c r="P31" s="42" t="str">
        <f>IF(Employee_Sales_Data!I31&gt;Employee_Sales_Data!J31,"Target Achieved","Target Missed")</f>
        <v>Target Missed</v>
      </c>
      <c r="Q31" s="42" t="str">
        <f t="shared" si="4"/>
        <v>Junior Pay Band</v>
      </c>
      <c r="R31" s="42" t="str">
        <f t="shared" si="5"/>
        <v>Current Employee</v>
      </c>
      <c r="S31" s="46" t="str">
        <f t="shared" si="6"/>
        <v>Young Talent</v>
      </c>
      <c r="T31" s="46" t="str">
        <f t="shared" si="0"/>
        <v>Grade C</v>
      </c>
      <c r="U31" s="46" t="str">
        <f t="shared" si="7"/>
        <v>2</v>
      </c>
      <c r="V31" s="46" t="str">
        <f t="shared" si="8"/>
        <v>Fresher</v>
      </c>
      <c r="W31" s="46" t="str">
        <f>IF(Table1[[#This Row],[Sales Status]]="Target Missed","Needs Improvement",IF(AND(Table1[[#This Row],[Sales Status]]="Achieved",W32="Excellent"),
        "Star",
        "Achiever"
    )
)</f>
        <v>Needs Improvement</v>
      </c>
      <c r="X31" s="46" t="str">
        <f t="shared" si="1"/>
        <v>Gen-Z</v>
      </c>
      <c r="Y31" s="46" t="str">
        <f t="shared" si="2"/>
        <v>No Bonus</v>
      </c>
    </row>
    <row r="32" spans="1:25" ht="15" customHeight="1">
      <c r="A32" s="3" t="s">
        <v>129</v>
      </c>
      <c r="B32" s="4" t="s">
        <v>130</v>
      </c>
      <c r="C32" s="3" t="s">
        <v>53</v>
      </c>
      <c r="D32" s="3" t="s">
        <v>30</v>
      </c>
      <c r="E32" s="3" t="s">
        <v>31</v>
      </c>
      <c r="F32" s="3">
        <v>39</v>
      </c>
      <c r="G32" s="3" t="s">
        <v>131</v>
      </c>
      <c r="H32" s="5">
        <v>89000</v>
      </c>
      <c r="I32" s="5">
        <v>0</v>
      </c>
      <c r="J32" s="5">
        <v>0</v>
      </c>
      <c r="K32" s="3" t="s">
        <v>50</v>
      </c>
      <c r="L32" s="6" t="s">
        <v>34</v>
      </c>
      <c r="M32" s="3">
        <v>8</v>
      </c>
      <c r="N32" s="44">
        <v>8900</v>
      </c>
      <c r="O32" s="42" t="str">
        <f t="shared" si="3"/>
        <v>Bonus Received</v>
      </c>
      <c r="P32" s="42" t="str">
        <f>IF(Employee_Sales_Data!I32&gt;Employee_Sales_Data!J32,"Target Achieved","Target Missed")</f>
        <v>Target Missed</v>
      </c>
      <c r="Q32" s="42" t="str">
        <f t="shared" si="4"/>
        <v>Senoir Pay Band</v>
      </c>
      <c r="R32" s="42" t="str">
        <f t="shared" si="5"/>
        <v>Current Employee</v>
      </c>
      <c r="S32" s="46" t="str">
        <f t="shared" si="6"/>
        <v>Young Talent</v>
      </c>
      <c r="T32" s="46" t="str">
        <f t="shared" si="0"/>
        <v>Grade A</v>
      </c>
      <c r="U32" s="46" t="str">
        <f t="shared" si="7"/>
        <v>3</v>
      </c>
      <c r="V32" s="46" t="str">
        <f t="shared" si="8"/>
        <v>Senior</v>
      </c>
      <c r="W32" s="46" t="str">
        <f>IF(Table1[[#This Row],[Sales Status]]="Target Missed","Needs Improvement",IF(AND(Table1[[#This Row],[Sales Status]]="Achieved",W33="Excellent"),
        "Star",
        "Achiever"
    )
)</f>
        <v>Needs Improvement</v>
      </c>
      <c r="X32" s="46" t="str">
        <f t="shared" si="1"/>
        <v>Millennial</v>
      </c>
      <c r="Y32" s="46" t="str">
        <f t="shared" si="2"/>
        <v>Premium</v>
      </c>
    </row>
    <row r="33" spans="1:25" ht="15" customHeight="1">
      <c r="A33" s="7" t="s">
        <v>132</v>
      </c>
      <c r="B33" s="8" t="s">
        <v>133</v>
      </c>
      <c r="C33" s="7" t="s">
        <v>29</v>
      </c>
      <c r="D33" s="7" t="s">
        <v>69</v>
      </c>
      <c r="E33" s="7" t="s">
        <v>39</v>
      </c>
      <c r="F33" s="7">
        <v>32</v>
      </c>
      <c r="G33" s="7" t="s">
        <v>134</v>
      </c>
      <c r="H33" s="9">
        <v>56000</v>
      </c>
      <c r="I33" s="9">
        <v>212000</v>
      </c>
      <c r="J33" s="9">
        <v>200000</v>
      </c>
      <c r="K33" s="7" t="s">
        <v>33</v>
      </c>
      <c r="L33" s="10" t="s">
        <v>34</v>
      </c>
      <c r="M33" s="7">
        <v>6</v>
      </c>
      <c r="N33" s="45">
        <v>10000</v>
      </c>
      <c r="O33" s="42" t="str">
        <f t="shared" si="3"/>
        <v>Bonus Received</v>
      </c>
      <c r="P33" s="42" t="str">
        <f>IF(Employee_Sales_Data!I33&gt;Employee_Sales_Data!J33,"Target Achieved","Target Missed")</f>
        <v>Target Achieved</v>
      </c>
      <c r="Q33" s="42" t="str">
        <f t="shared" si="4"/>
        <v>Junior Pay Band</v>
      </c>
      <c r="R33" s="42" t="str">
        <f t="shared" si="5"/>
        <v>Current Employee</v>
      </c>
      <c r="S33" s="46" t="str">
        <f t="shared" si="6"/>
        <v>Young Talent</v>
      </c>
      <c r="T33" s="46" t="str">
        <f t="shared" si="0"/>
        <v>Grade B</v>
      </c>
      <c r="U33" s="46" t="str">
        <f t="shared" si="7"/>
        <v>5</v>
      </c>
      <c r="V33" s="46" t="str">
        <f t="shared" si="8"/>
        <v>Mid Level</v>
      </c>
      <c r="W33" s="46" t="str">
        <f>IF(Table1[[#This Row],[Sales Status]]="Target Missed","Needs Improvement",IF(AND(Table1[[#This Row],[Sales Status]]="Achieved",W34="Excellent"),
        "Star",
        "Achiever"
    )
)</f>
        <v>Achiever</v>
      </c>
      <c r="X33" s="46" t="str">
        <f t="shared" si="1"/>
        <v>Millennial</v>
      </c>
      <c r="Y33" s="46" t="str">
        <f t="shared" si="2"/>
        <v>Premium</v>
      </c>
    </row>
    <row r="34" spans="1:25" ht="15" customHeight="1">
      <c r="A34" s="3" t="s">
        <v>135</v>
      </c>
      <c r="B34" s="4" t="s">
        <v>136</v>
      </c>
      <c r="C34" s="3" t="s">
        <v>37</v>
      </c>
      <c r="D34" s="3" t="s">
        <v>54</v>
      </c>
      <c r="E34" s="3" t="s">
        <v>31</v>
      </c>
      <c r="F34" s="3">
        <v>43</v>
      </c>
      <c r="G34" s="3" t="s">
        <v>137</v>
      </c>
      <c r="H34" s="5">
        <v>70000</v>
      </c>
      <c r="I34" s="5">
        <v>0</v>
      </c>
      <c r="J34" s="5">
        <v>0</v>
      </c>
      <c r="K34" s="3" t="s">
        <v>41</v>
      </c>
      <c r="L34" s="6" t="s">
        <v>34</v>
      </c>
      <c r="M34" s="3">
        <v>11</v>
      </c>
      <c r="N34" s="44">
        <v>7000</v>
      </c>
      <c r="O34" s="42" t="str">
        <f t="shared" si="3"/>
        <v>Bonus Received</v>
      </c>
      <c r="P34" s="42" t="str">
        <f>IF(Employee_Sales_Data!I34&gt;Employee_Sales_Data!J34,"Target Achieved","Target Missed")</f>
        <v>Target Missed</v>
      </c>
      <c r="Q34" s="42" t="str">
        <f t="shared" si="4"/>
        <v>Junior Pay Band</v>
      </c>
      <c r="R34" s="42" t="str">
        <f t="shared" si="5"/>
        <v>Current Employee</v>
      </c>
      <c r="S34" s="46" t="str">
        <f t="shared" si="6"/>
        <v>Vetaran</v>
      </c>
      <c r="T34" s="46" t="str">
        <f t="shared" si="0"/>
        <v>Grade B</v>
      </c>
      <c r="U34" s="46" t="str">
        <f t="shared" si="7"/>
        <v>4</v>
      </c>
      <c r="V34" s="46" t="str">
        <f t="shared" si="8"/>
        <v>Senior</v>
      </c>
      <c r="W34" s="46" t="str">
        <f>IF(Table1[[#This Row],[Sales Status]]="Target Missed","Needs Improvement",IF(AND(Table1[[#This Row],[Sales Status]]="Achieved",W35="Excellent"),
        "Star",
        "Achiever"
    )
)</f>
        <v>Needs Improvement</v>
      </c>
      <c r="X34" s="46" t="str">
        <f t="shared" si="1"/>
        <v>Gen X</v>
      </c>
      <c r="Y34" s="46" t="str">
        <f t="shared" si="2"/>
        <v>Stanadard</v>
      </c>
    </row>
    <row r="35" spans="1:25" ht="15" customHeight="1">
      <c r="A35" s="7" t="s">
        <v>138</v>
      </c>
      <c r="B35" s="8" t="s">
        <v>139</v>
      </c>
      <c r="C35" s="7" t="s">
        <v>29</v>
      </c>
      <c r="D35" s="7" t="s">
        <v>30</v>
      </c>
      <c r="E35" s="7" t="s">
        <v>39</v>
      </c>
      <c r="F35" s="7">
        <v>29</v>
      </c>
      <c r="G35" s="7" t="s">
        <v>140</v>
      </c>
      <c r="H35" s="9">
        <v>51000</v>
      </c>
      <c r="I35" s="9">
        <v>182000</v>
      </c>
      <c r="J35" s="9">
        <v>180000</v>
      </c>
      <c r="K35" s="7" t="s">
        <v>41</v>
      </c>
      <c r="L35" s="10" t="s">
        <v>34</v>
      </c>
      <c r="M35" s="7">
        <v>4</v>
      </c>
      <c r="N35" s="45">
        <v>8000</v>
      </c>
      <c r="O35" s="42" t="str">
        <f t="shared" si="3"/>
        <v>Bonus Received</v>
      </c>
      <c r="P35" s="42" t="str">
        <f>IF(Employee_Sales_Data!I35&gt;Employee_Sales_Data!J35,"Target Achieved","Target Missed")</f>
        <v>Target Achieved</v>
      </c>
      <c r="Q35" s="42" t="str">
        <f t="shared" si="4"/>
        <v>Junior Pay Band</v>
      </c>
      <c r="R35" s="42" t="str">
        <f t="shared" si="5"/>
        <v>Current Employee</v>
      </c>
      <c r="S35" s="46" t="str">
        <f t="shared" si="6"/>
        <v>Young Talent</v>
      </c>
      <c r="T35" s="46" t="str">
        <f t="shared" si="0"/>
        <v>Grade B</v>
      </c>
      <c r="U35" s="46" t="str">
        <f t="shared" si="7"/>
        <v>4</v>
      </c>
      <c r="V35" s="46" t="str">
        <f t="shared" si="8"/>
        <v>Mid Level</v>
      </c>
      <c r="W35" s="46" t="str">
        <f>IF(Table1[[#This Row],[Sales Status]]="Target Missed","Needs Improvement",IF(AND(Table1[[#This Row],[Sales Status]]="Achieved",W36="Excellent"),
        "Star",
        "Achiever"
    )
)</f>
        <v>Achiever</v>
      </c>
      <c r="X35" s="46" t="str">
        <f t="shared" si="1"/>
        <v>Gen-Z</v>
      </c>
      <c r="Y35" s="46" t="str">
        <f t="shared" si="2"/>
        <v>Stanadard</v>
      </c>
    </row>
    <row r="36" spans="1:25" ht="15" customHeight="1">
      <c r="A36" s="3" t="s">
        <v>141</v>
      </c>
      <c r="B36" s="4" t="s">
        <v>142</v>
      </c>
      <c r="C36" s="3" t="s">
        <v>44</v>
      </c>
      <c r="D36" s="3" t="s">
        <v>38</v>
      </c>
      <c r="E36" s="3" t="s">
        <v>31</v>
      </c>
      <c r="F36" s="3">
        <v>26</v>
      </c>
      <c r="G36" s="3" t="s">
        <v>143</v>
      </c>
      <c r="H36" s="5">
        <v>68000</v>
      </c>
      <c r="I36" s="5">
        <v>0</v>
      </c>
      <c r="J36" s="5">
        <v>0</v>
      </c>
      <c r="K36" s="3" t="s">
        <v>41</v>
      </c>
      <c r="L36" s="6" t="s">
        <v>34</v>
      </c>
      <c r="M36" s="3">
        <v>2</v>
      </c>
      <c r="N36" s="44">
        <v>6800</v>
      </c>
      <c r="O36" s="42" t="str">
        <f t="shared" ref="O36:O53" si="9">IF(N37&gt;0,"Bonus Received","No Bonus")</f>
        <v>No Bonus</v>
      </c>
      <c r="P36" s="42" t="str">
        <f>IF(Employee_Sales_Data!I36&gt;Employee_Sales_Data!J36,"Target Achieved","Target Missed")</f>
        <v>Target Missed</v>
      </c>
      <c r="Q36" s="42" t="str">
        <f t="shared" si="4"/>
        <v>Junior Pay Band</v>
      </c>
      <c r="R36" s="42" t="str">
        <f t="shared" si="5"/>
        <v>Current Employee</v>
      </c>
      <c r="S36" s="46" t="str">
        <f t="shared" ref="S36:S53" si="10">IF(F36&gt;40,"Vetaran","Young Talent")</f>
        <v>Young Talent</v>
      </c>
      <c r="T36" s="46" t="str">
        <f t="shared" ref="T36:T53" si="11">IF(H36&gt;=80000,"Grade A",IF(H36&gt;50000,"Grade B","Grade C"))</f>
        <v>Grade B</v>
      </c>
      <c r="U36" s="46" t="str">
        <f t="shared" ref="U36:U53" si="12">IF(K36="Excellent","5",IF(K36="Good","4",IF(K36="Average","3",IF(K36="Below Avg","2","1"))))</f>
        <v>4</v>
      </c>
      <c r="V36" s="46" t="str">
        <f t="shared" ref="V36:V53" si="13">IF(M36&lt;3,"Fresher",IF(M36&lt;7,"Mid Level","Senior"))</f>
        <v>Fresher</v>
      </c>
      <c r="W36" s="46" t="str">
        <f>IF(Table1[[#This Row],[Sales Status]]="Target Missed","Needs Improvement",IF(AND(Table1[[#This Row],[Sales Status]]="Achieved",W37="Excellent"),
        "Star",
        "Achiever"
    )
)</f>
        <v>Needs Improvement</v>
      </c>
      <c r="X36" s="46" t="str">
        <f t="shared" ref="X36:X53" si="14">IF(F36&lt;30,"Gen-Z",IF(F36&lt;40,"Millennial","Gen X"))</f>
        <v>Gen-Z</v>
      </c>
      <c r="Y36" s="46" t="str">
        <f t="shared" ref="Y36:Y53" si="15">IF(N36=0,"No Bonus",IF(N36&lt;=8000,"Stanadard","Premium"))</f>
        <v>Stanadard</v>
      </c>
    </row>
    <row r="37" spans="1:25" ht="15" customHeight="1">
      <c r="A37" s="7" t="s">
        <v>144</v>
      </c>
      <c r="B37" s="8" t="s">
        <v>145</v>
      </c>
      <c r="C37" s="7" t="s">
        <v>29</v>
      </c>
      <c r="D37" s="7" t="s">
        <v>64</v>
      </c>
      <c r="E37" s="7" t="s">
        <v>39</v>
      </c>
      <c r="F37" s="7">
        <v>36</v>
      </c>
      <c r="G37" s="7" t="s">
        <v>146</v>
      </c>
      <c r="H37" s="9">
        <v>59000</v>
      </c>
      <c r="I37" s="9">
        <v>148000</v>
      </c>
      <c r="J37" s="9">
        <v>180000</v>
      </c>
      <c r="K37" s="7" t="s">
        <v>77</v>
      </c>
      <c r="L37" s="10" t="s">
        <v>34</v>
      </c>
      <c r="M37" s="7">
        <v>7</v>
      </c>
      <c r="N37" s="45">
        <v>0</v>
      </c>
      <c r="O37" s="42" t="str">
        <f t="shared" si="9"/>
        <v>Bonus Received</v>
      </c>
      <c r="P37" s="42" t="str">
        <f>IF(Employee_Sales_Data!I37&gt;Employee_Sales_Data!J37,"Target Achieved","Target Missed")</f>
        <v>Target Missed</v>
      </c>
      <c r="Q37" s="42" t="str">
        <f t="shared" si="4"/>
        <v>Junior Pay Band</v>
      </c>
      <c r="R37" s="42" t="str">
        <f t="shared" si="5"/>
        <v>Current Employee</v>
      </c>
      <c r="S37" s="46" t="str">
        <f t="shared" si="10"/>
        <v>Young Talent</v>
      </c>
      <c r="T37" s="46" t="str">
        <f t="shared" si="11"/>
        <v>Grade B</v>
      </c>
      <c r="U37" s="46" t="str">
        <f t="shared" si="12"/>
        <v>2</v>
      </c>
      <c r="V37" s="46" t="str">
        <f t="shared" si="13"/>
        <v>Senior</v>
      </c>
      <c r="W37" s="46" t="str">
        <f>IF(Table1[[#This Row],[Sales Status]]="Target Missed","Needs Improvement",IF(AND(Table1[[#This Row],[Sales Status]]="Achieved",W38="Excellent"),
        "Star",
        "Achiever"
    )
)</f>
        <v>Needs Improvement</v>
      </c>
      <c r="X37" s="46" t="str">
        <f t="shared" si="14"/>
        <v>Millennial</v>
      </c>
      <c r="Y37" s="46" t="str">
        <f t="shared" si="15"/>
        <v>No Bonus</v>
      </c>
    </row>
    <row r="38" spans="1:25" ht="15" customHeight="1">
      <c r="A38" s="3" t="s">
        <v>147</v>
      </c>
      <c r="B38" s="4" t="s">
        <v>148</v>
      </c>
      <c r="C38" s="3" t="s">
        <v>53</v>
      </c>
      <c r="D38" s="3" t="s">
        <v>45</v>
      </c>
      <c r="E38" s="3" t="s">
        <v>31</v>
      </c>
      <c r="F38" s="3">
        <v>41</v>
      </c>
      <c r="G38" s="3" t="s">
        <v>149</v>
      </c>
      <c r="H38" s="5">
        <v>93000</v>
      </c>
      <c r="I38" s="5">
        <v>0</v>
      </c>
      <c r="J38" s="5">
        <v>0</v>
      </c>
      <c r="K38" s="3" t="s">
        <v>33</v>
      </c>
      <c r="L38" s="6" t="s">
        <v>34</v>
      </c>
      <c r="M38" s="3">
        <v>10</v>
      </c>
      <c r="N38" s="44">
        <v>11600</v>
      </c>
      <c r="O38" s="42" t="str">
        <f t="shared" si="9"/>
        <v>Bonus Received</v>
      </c>
      <c r="P38" s="42" t="str">
        <f>IF(Employee_Sales_Data!I38&gt;Employee_Sales_Data!J38,"Target Achieved","Target Missed")</f>
        <v>Target Missed</v>
      </c>
      <c r="Q38" s="42" t="str">
        <f t="shared" si="4"/>
        <v>Senoir Pay Band</v>
      </c>
      <c r="R38" s="42" t="str">
        <f t="shared" si="5"/>
        <v>Current Employee</v>
      </c>
      <c r="S38" s="46" t="str">
        <f t="shared" si="10"/>
        <v>Vetaran</v>
      </c>
      <c r="T38" s="46" t="str">
        <f t="shared" si="11"/>
        <v>Grade A</v>
      </c>
      <c r="U38" s="46" t="str">
        <f t="shared" si="12"/>
        <v>5</v>
      </c>
      <c r="V38" s="46" t="str">
        <f t="shared" si="13"/>
        <v>Senior</v>
      </c>
      <c r="W38" s="46" t="str">
        <f>IF(Table1[[#This Row],[Sales Status]]="Target Missed","Needs Improvement",IF(AND(Table1[[#This Row],[Sales Status]]="Achieved",W39="Excellent"),
        "Star",
        "Achiever"
    )
)</f>
        <v>Needs Improvement</v>
      </c>
      <c r="X38" s="46" t="str">
        <f t="shared" si="14"/>
        <v>Gen X</v>
      </c>
      <c r="Y38" s="46" t="str">
        <f t="shared" si="15"/>
        <v>Premium</v>
      </c>
    </row>
    <row r="39" spans="1:25" ht="15" customHeight="1">
      <c r="A39" s="7" t="s">
        <v>150</v>
      </c>
      <c r="B39" s="8" t="s">
        <v>151</v>
      </c>
      <c r="C39" s="7" t="s">
        <v>29</v>
      </c>
      <c r="D39" s="7" t="s">
        <v>54</v>
      </c>
      <c r="E39" s="7" t="s">
        <v>39</v>
      </c>
      <c r="F39" s="7">
        <v>24</v>
      </c>
      <c r="G39" s="7" t="s">
        <v>152</v>
      </c>
      <c r="H39" s="9">
        <v>43000</v>
      </c>
      <c r="I39" s="9">
        <v>191000</v>
      </c>
      <c r="J39" s="9">
        <v>190000</v>
      </c>
      <c r="K39" s="7" t="s">
        <v>41</v>
      </c>
      <c r="L39" s="10" t="s">
        <v>34</v>
      </c>
      <c r="M39" s="7">
        <v>1</v>
      </c>
      <c r="N39" s="45">
        <v>8000</v>
      </c>
      <c r="O39" s="42" t="str">
        <f t="shared" si="9"/>
        <v>No Bonus</v>
      </c>
      <c r="P39" s="42" t="str">
        <f>IF(Employee_Sales_Data!I39&gt;Employee_Sales_Data!J39,"Target Achieved","Target Missed")</f>
        <v>Target Achieved</v>
      </c>
      <c r="Q39" s="42" t="str">
        <f t="shared" si="4"/>
        <v>Junior Pay Band</v>
      </c>
      <c r="R39" s="42" t="str">
        <f t="shared" si="5"/>
        <v>Current Employee</v>
      </c>
      <c r="S39" s="46" t="str">
        <f t="shared" si="10"/>
        <v>Young Talent</v>
      </c>
      <c r="T39" s="46" t="str">
        <f t="shared" si="11"/>
        <v>Grade C</v>
      </c>
      <c r="U39" s="46" t="str">
        <f t="shared" si="12"/>
        <v>4</v>
      </c>
      <c r="V39" s="46" t="str">
        <f t="shared" si="13"/>
        <v>Fresher</v>
      </c>
      <c r="W39" s="46" t="str">
        <f>IF(Table1[[#This Row],[Sales Status]]="Target Missed","Needs Improvement",IF(AND(Table1[[#This Row],[Sales Status]]="Achieved",W40="Excellent"),
        "Star",
        "Achiever"
    )
)</f>
        <v>Achiever</v>
      </c>
      <c r="X39" s="46" t="str">
        <f t="shared" si="14"/>
        <v>Gen-Z</v>
      </c>
      <c r="Y39" s="46" t="str">
        <f t="shared" si="15"/>
        <v>Stanadard</v>
      </c>
    </row>
    <row r="40" spans="1:25" ht="15" customHeight="1">
      <c r="A40" s="3" t="s">
        <v>153</v>
      </c>
      <c r="B40" s="4" t="s">
        <v>154</v>
      </c>
      <c r="C40" s="3" t="s">
        <v>37</v>
      </c>
      <c r="D40" s="3" t="s">
        <v>69</v>
      </c>
      <c r="E40" s="3" t="s">
        <v>31</v>
      </c>
      <c r="F40" s="3">
        <v>33</v>
      </c>
      <c r="G40" s="3" t="s">
        <v>155</v>
      </c>
      <c r="H40" s="5">
        <v>63000</v>
      </c>
      <c r="I40" s="5">
        <v>0</v>
      </c>
      <c r="J40" s="5">
        <v>0</v>
      </c>
      <c r="K40" s="3" t="s">
        <v>50</v>
      </c>
      <c r="L40" s="12" t="s">
        <v>66</v>
      </c>
      <c r="M40" s="3">
        <v>6</v>
      </c>
      <c r="N40" s="44">
        <v>0</v>
      </c>
      <c r="O40" s="42" t="str">
        <f t="shared" si="9"/>
        <v>No Bonus</v>
      </c>
      <c r="P40" s="42" t="str">
        <f>IF(Employee_Sales_Data!I40&gt;Employee_Sales_Data!J40,"Target Achieved","Target Missed")</f>
        <v>Target Missed</v>
      </c>
      <c r="Q40" s="42" t="str">
        <f t="shared" si="4"/>
        <v>Junior Pay Band</v>
      </c>
      <c r="R40" s="42" t="str">
        <f t="shared" si="5"/>
        <v>Ex-Employee</v>
      </c>
      <c r="S40" s="46" t="str">
        <f t="shared" si="10"/>
        <v>Young Talent</v>
      </c>
      <c r="T40" s="46" t="str">
        <f t="shared" si="11"/>
        <v>Grade B</v>
      </c>
      <c r="U40" s="46" t="str">
        <f t="shared" si="12"/>
        <v>3</v>
      </c>
      <c r="V40" s="46" t="str">
        <f t="shared" si="13"/>
        <v>Mid Level</v>
      </c>
      <c r="W40" s="46" t="str">
        <f>IF(Table1[[#This Row],[Sales Status]]="Target Missed","Needs Improvement",IF(AND(Table1[[#This Row],[Sales Status]]="Achieved",W41="Excellent"),
        "Star",
        "Achiever"
    )
)</f>
        <v>Needs Improvement</v>
      </c>
      <c r="X40" s="46" t="str">
        <f t="shared" si="14"/>
        <v>Millennial</v>
      </c>
      <c r="Y40" s="46" t="str">
        <f t="shared" si="15"/>
        <v>No Bonus</v>
      </c>
    </row>
    <row r="41" spans="1:25" ht="15" customHeight="1">
      <c r="A41" s="7" t="s">
        <v>156</v>
      </c>
      <c r="B41" s="8" t="s">
        <v>157</v>
      </c>
      <c r="C41" s="7" t="s">
        <v>29</v>
      </c>
      <c r="D41" s="7" t="s">
        <v>38</v>
      </c>
      <c r="E41" s="7" t="s">
        <v>39</v>
      </c>
      <c r="F41" s="7">
        <v>31</v>
      </c>
      <c r="G41" s="7" t="s">
        <v>158</v>
      </c>
      <c r="H41" s="9">
        <v>53000</v>
      </c>
      <c r="I41" s="9">
        <v>165000</v>
      </c>
      <c r="J41" s="9">
        <v>170000</v>
      </c>
      <c r="K41" s="7" t="s">
        <v>50</v>
      </c>
      <c r="L41" s="10" t="s">
        <v>34</v>
      </c>
      <c r="M41" s="7">
        <v>5</v>
      </c>
      <c r="N41" s="45">
        <v>0</v>
      </c>
      <c r="O41" s="42" t="str">
        <f t="shared" si="9"/>
        <v>Bonus Received</v>
      </c>
      <c r="P41" s="42" t="str">
        <f>IF(Employee_Sales_Data!I41&gt;Employee_Sales_Data!J41,"Target Achieved","Target Missed")</f>
        <v>Target Missed</v>
      </c>
      <c r="Q41" s="42" t="str">
        <f t="shared" si="4"/>
        <v>Junior Pay Band</v>
      </c>
      <c r="R41" s="42" t="str">
        <f t="shared" si="5"/>
        <v>Current Employee</v>
      </c>
      <c r="S41" s="46" t="str">
        <f t="shared" si="10"/>
        <v>Young Talent</v>
      </c>
      <c r="T41" s="46" t="str">
        <f t="shared" si="11"/>
        <v>Grade B</v>
      </c>
      <c r="U41" s="46" t="str">
        <f t="shared" si="12"/>
        <v>3</v>
      </c>
      <c r="V41" s="46" t="str">
        <f t="shared" si="13"/>
        <v>Mid Level</v>
      </c>
      <c r="W41" s="46" t="str">
        <f>IF(Table1[[#This Row],[Sales Status]]="Target Missed","Needs Improvement",IF(AND(Table1[[#This Row],[Sales Status]]="Achieved",W42="Excellent"),
        "Star",
        "Achiever"
    )
)</f>
        <v>Needs Improvement</v>
      </c>
      <c r="X41" s="46" t="str">
        <f t="shared" si="14"/>
        <v>Millennial</v>
      </c>
      <c r="Y41" s="46" t="str">
        <f t="shared" si="15"/>
        <v>No Bonus</v>
      </c>
    </row>
    <row r="42" spans="1:25" ht="15" customHeight="1">
      <c r="A42" s="3" t="s">
        <v>159</v>
      </c>
      <c r="B42" s="4" t="s">
        <v>160</v>
      </c>
      <c r="C42" s="3" t="s">
        <v>44</v>
      </c>
      <c r="D42" s="3" t="s">
        <v>30</v>
      </c>
      <c r="E42" s="3" t="s">
        <v>31</v>
      </c>
      <c r="F42" s="3">
        <v>28</v>
      </c>
      <c r="G42" s="3" t="s">
        <v>161</v>
      </c>
      <c r="H42" s="5">
        <v>71000</v>
      </c>
      <c r="I42" s="5">
        <v>0</v>
      </c>
      <c r="J42" s="5">
        <v>0</v>
      </c>
      <c r="K42" s="3" t="s">
        <v>41</v>
      </c>
      <c r="L42" s="6" t="s">
        <v>34</v>
      </c>
      <c r="M42" s="3">
        <v>3</v>
      </c>
      <c r="N42" s="44">
        <v>7100</v>
      </c>
      <c r="O42" s="42" t="str">
        <f t="shared" si="9"/>
        <v>Bonus Received</v>
      </c>
      <c r="P42" s="42" t="str">
        <f>IF(Employee_Sales_Data!I42&gt;Employee_Sales_Data!J42,"Target Achieved","Target Missed")</f>
        <v>Target Missed</v>
      </c>
      <c r="Q42" s="42" t="str">
        <f t="shared" si="4"/>
        <v>Junior Pay Band</v>
      </c>
      <c r="R42" s="42" t="str">
        <f t="shared" si="5"/>
        <v>Current Employee</v>
      </c>
      <c r="S42" s="46" t="str">
        <f t="shared" si="10"/>
        <v>Young Talent</v>
      </c>
      <c r="T42" s="46" t="str">
        <f t="shared" si="11"/>
        <v>Grade B</v>
      </c>
      <c r="U42" s="46" t="str">
        <f t="shared" si="12"/>
        <v>4</v>
      </c>
      <c r="V42" s="46" t="str">
        <f t="shared" si="13"/>
        <v>Mid Level</v>
      </c>
      <c r="W42" s="46" t="str">
        <f>IF(Table1[[#This Row],[Sales Status]]="Target Missed","Needs Improvement",IF(AND(Table1[[#This Row],[Sales Status]]="Achieved",W43="Excellent"),
        "Star",
        "Achiever"
    )
)</f>
        <v>Needs Improvement</v>
      </c>
      <c r="X42" s="46" t="str">
        <f t="shared" si="14"/>
        <v>Gen-Z</v>
      </c>
      <c r="Y42" s="46" t="str">
        <f t="shared" si="15"/>
        <v>Stanadard</v>
      </c>
    </row>
    <row r="43" spans="1:25" ht="15" customHeight="1">
      <c r="A43" s="7" t="s">
        <v>162</v>
      </c>
      <c r="B43" s="8" t="s">
        <v>163</v>
      </c>
      <c r="C43" s="7" t="s">
        <v>29</v>
      </c>
      <c r="D43" s="7" t="s">
        <v>45</v>
      </c>
      <c r="E43" s="7" t="s">
        <v>39</v>
      </c>
      <c r="F43" s="7">
        <v>35</v>
      </c>
      <c r="G43" s="7" t="s">
        <v>164</v>
      </c>
      <c r="H43" s="9">
        <v>58000</v>
      </c>
      <c r="I43" s="9">
        <v>225000</v>
      </c>
      <c r="J43" s="9">
        <v>200000</v>
      </c>
      <c r="K43" s="7" t="s">
        <v>33</v>
      </c>
      <c r="L43" s="10" t="s">
        <v>34</v>
      </c>
      <c r="M43" s="7">
        <v>7</v>
      </c>
      <c r="N43" s="45">
        <v>10500</v>
      </c>
      <c r="O43" s="42" t="str">
        <f t="shared" si="9"/>
        <v>Bonus Received</v>
      </c>
      <c r="P43" s="42" t="str">
        <f>IF(Employee_Sales_Data!I43&gt;Employee_Sales_Data!J43,"Target Achieved","Target Missed")</f>
        <v>Target Achieved</v>
      </c>
      <c r="Q43" s="42" t="str">
        <f t="shared" si="4"/>
        <v>Junior Pay Band</v>
      </c>
      <c r="R43" s="42" t="str">
        <f t="shared" si="5"/>
        <v>Current Employee</v>
      </c>
      <c r="S43" s="46" t="str">
        <f t="shared" si="10"/>
        <v>Young Talent</v>
      </c>
      <c r="T43" s="46" t="str">
        <f t="shared" si="11"/>
        <v>Grade B</v>
      </c>
      <c r="U43" s="46" t="str">
        <f t="shared" si="12"/>
        <v>5</v>
      </c>
      <c r="V43" s="46" t="str">
        <f t="shared" si="13"/>
        <v>Senior</v>
      </c>
      <c r="W43" s="46" t="str">
        <f>IF(Table1[[#This Row],[Sales Status]]="Target Missed","Needs Improvement",IF(AND(Table1[[#This Row],[Sales Status]]="Achieved",W44="Excellent"),
        "Star",
        "Achiever"
    )
)</f>
        <v>Achiever</v>
      </c>
      <c r="X43" s="46" t="str">
        <f t="shared" si="14"/>
        <v>Millennial</v>
      </c>
      <c r="Y43" s="46" t="str">
        <f t="shared" si="15"/>
        <v>Premium</v>
      </c>
    </row>
    <row r="44" spans="1:25" ht="15" customHeight="1">
      <c r="A44" s="3" t="s">
        <v>165</v>
      </c>
      <c r="B44" s="4" t="s">
        <v>166</v>
      </c>
      <c r="C44" s="3" t="s">
        <v>53</v>
      </c>
      <c r="D44" s="3" t="s">
        <v>64</v>
      </c>
      <c r="E44" s="3" t="s">
        <v>31</v>
      </c>
      <c r="F44" s="3">
        <v>46</v>
      </c>
      <c r="G44" s="3" t="s">
        <v>167</v>
      </c>
      <c r="H44" s="5">
        <v>100000</v>
      </c>
      <c r="I44" s="5">
        <v>0</v>
      </c>
      <c r="J44" s="5">
        <v>0</v>
      </c>
      <c r="K44" s="3" t="s">
        <v>41</v>
      </c>
      <c r="L44" s="6" t="s">
        <v>34</v>
      </c>
      <c r="M44" s="3">
        <v>12</v>
      </c>
      <c r="N44" s="44">
        <v>10000</v>
      </c>
      <c r="O44" s="42" t="str">
        <f t="shared" si="9"/>
        <v>No Bonus</v>
      </c>
      <c r="P44" s="42" t="str">
        <f>IF(Employee_Sales_Data!I44&gt;Employee_Sales_Data!J44,"Target Achieved","Target Missed")</f>
        <v>Target Missed</v>
      </c>
      <c r="Q44" s="42" t="str">
        <f t="shared" si="4"/>
        <v>Senoir Pay Band</v>
      </c>
      <c r="R44" s="42" t="str">
        <f t="shared" si="5"/>
        <v>Current Employee</v>
      </c>
      <c r="S44" s="46" t="str">
        <f t="shared" si="10"/>
        <v>Vetaran</v>
      </c>
      <c r="T44" s="46" t="str">
        <f t="shared" si="11"/>
        <v>Grade A</v>
      </c>
      <c r="U44" s="46" t="str">
        <f t="shared" si="12"/>
        <v>4</v>
      </c>
      <c r="V44" s="46" t="str">
        <f t="shared" si="13"/>
        <v>Senior</v>
      </c>
      <c r="W44" s="46" t="str">
        <f>IF(Table1[[#This Row],[Sales Status]]="Target Missed","Needs Improvement",IF(AND(Table1[[#This Row],[Sales Status]]="Achieved",W45="Excellent"),
        "Star",
        "Achiever"
    )
)</f>
        <v>Needs Improvement</v>
      </c>
      <c r="X44" s="46" t="str">
        <f t="shared" si="14"/>
        <v>Gen X</v>
      </c>
      <c r="Y44" s="46" t="str">
        <f t="shared" si="15"/>
        <v>Premium</v>
      </c>
    </row>
    <row r="45" spans="1:25" ht="15" customHeight="1">
      <c r="A45" s="7" t="s">
        <v>168</v>
      </c>
      <c r="B45" s="8" t="s">
        <v>169</v>
      </c>
      <c r="C45" s="7" t="s">
        <v>29</v>
      </c>
      <c r="D45" s="7" t="s">
        <v>69</v>
      </c>
      <c r="E45" s="7" t="s">
        <v>39</v>
      </c>
      <c r="F45" s="7">
        <v>27</v>
      </c>
      <c r="G45" s="7" t="s">
        <v>170</v>
      </c>
      <c r="H45" s="9">
        <v>47000</v>
      </c>
      <c r="I45" s="9">
        <v>172000</v>
      </c>
      <c r="J45" s="9">
        <v>180000</v>
      </c>
      <c r="K45" s="7" t="s">
        <v>50</v>
      </c>
      <c r="L45" s="10" t="s">
        <v>34</v>
      </c>
      <c r="M45" s="7">
        <v>2</v>
      </c>
      <c r="N45" s="45">
        <v>0</v>
      </c>
      <c r="O45" s="42" t="str">
        <f t="shared" si="9"/>
        <v>Bonus Received</v>
      </c>
      <c r="P45" s="42" t="str">
        <f>IF(Employee_Sales_Data!I45&gt;Employee_Sales_Data!J45,"Target Achieved","Target Missed")</f>
        <v>Target Missed</v>
      </c>
      <c r="Q45" s="42" t="str">
        <f t="shared" si="4"/>
        <v>Junior Pay Band</v>
      </c>
      <c r="R45" s="42" t="str">
        <f t="shared" si="5"/>
        <v>Current Employee</v>
      </c>
      <c r="S45" s="46" t="str">
        <f t="shared" si="10"/>
        <v>Young Talent</v>
      </c>
      <c r="T45" s="46" t="str">
        <f t="shared" si="11"/>
        <v>Grade C</v>
      </c>
      <c r="U45" s="46" t="str">
        <f t="shared" si="12"/>
        <v>3</v>
      </c>
      <c r="V45" s="46" t="str">
        <f t="shared" si="13"/>
        <v>Fresher</v>
      </c>
      <c r="W45" s="46" t="str">
        <f>IF(Table1[[#This Row],[Sales Status]]="Target Missed","Needs Improvement",IF(AND(Table1[[#This Row],[Sales Status]]="Achieved",W46="Excellent"),
        "Star",
        "Achiever"
    )
)</f>
        <v>Needs Improvement</v>
      </c>
      <c r="X45" s="46" t="str">
        <f t="shared" si="14"/>
        <v>Gen-Z</v>
      </c>
      <c r="Y45" s="46" t="str">
        <f t="shared" si="15"/>
        <v>No Bonus</v>
      </c>
    </row>
    <row r="46" spans="1:25" ht="15" customHeight="1">
      <c r="A46" s="3" t="s">
        <v>171</v>
      </c>
      <c r="B46" s="4" t="s">
        <v>172</v>
      </c>
      <c r="C46" s="3" t="s">
        <v>44</v>
      </c>
      <c r="D46" s="3" t="s">
        <v>54</v>
      </c>
      <c r="E46" s="3" t="s">
        <v>31</v>
      </c>
      <c r="F46" s="3">
        <v>34</v>
      </c>
      <c r="G46" s="3" t="s">
        <v>173</v>
      </c>
      <c r="H46" s="5">
        <v>76000</v>
      </c>
      <c r="I46" s="5">
        <v>0</v>
      </c>
      <c r="J46" s="5">
        <v>0</v>
      </c>
      <c r="K46" s="3" t="s">
        <v>33</v>
      </c>
      <c r="L46" s="6" t="s">
        <v>34</v>
      </c>
      <c r="M46" s="3">
        <v>6</v>
      </c>
      <c r="N46" s="44">
        <v>9120</v>
      </c>
      <c r="O46" s="42" t="str">
        <f t="shared" si="9"/>
        <v>No Bonus</v>
      </c>
      <c r="P46" s="42" t="str">
        <f>IF(Employee_Sales_Data!I46&gt;Employee_Sales_Data!J46,"Target Achieved","Target Missed")</f>
        <v>Target Missed</v>
      </c>
      <c r="Q46" s="42" t="str">
        <f t="shared" si="4"/>
        <v>Junior Pay Band</v>
      </c>
      <c r="R46" s="42" t="str">
        <f t="shared" si="5"/>
        <v>Current Employee</v>
      </c>
      <c r="S46" s="46" t="str">
        <f t="shared" si="10"/>
        <v>Young Talent</v>
      </c>
      <c r="T46" s="46" t="str">
        <f t="shared" si="11"/>
        <v>Grade B</v>
      </c>
      <c r="U46" s="46" t="str">
        <f t="shared" si="12"/>
        <v>5</v>
      </c>
      <c r="V46" s="46" t="str">
        <f t="shared" si="13"/>
        <v>Mid Level</v>
      </c>
      <c r="W46" s="46" t="str">
        <f>IF(Table1[[#This Row],[Sales Status]]="Target Missed","Needs Improvement",IF(AND(Table1[[#This Row],[Sales Status]]="Achieved",W47="Excellent"),
        "Star",
        "Achiever"
    )
)</f>
        <v>Needs Improvement</v>
      </c>
      <c r="X46" s="46" t="str">
        <f t="shared" si="14"/>
        <v>Millennial</v>
      </c>
      <c r="Y46" s="46" t="str">
        <f t="shared" si="15"/>
        <v>Premium</v>
      </c>
    </row>
    <row r="47" spans="1:25" ht="15" customHeight="1">
      <c r="A47" s="7" t="s">
        <v>174</v>
      </c>
      <c r="B47" s="8" t="s">
        <v>175</v>
      </c>
      <c r="C47" s="7" t="s">
        <v>29</v>
      </c>
      <c r="D47" s="7" t="s">
        <v>30</v>
      </c>
      <c r="E47" s="7" t="s">
        <v>39</v>
      </c>
      <c r="F47" s="7">
        <v>26</v>
      </c>
      <c r="G47" s="7" t="s">
        <v>176</v>
      </c>
      <c r="H47" s="9">
        <v>44000</v>
      </c>
      <c r="I47" s="9">
        <v>158000</v>
      </c>
      <c r="J47" s="9">
        <v>170000</v>
      </c>
      <c r="K47" s="7" t="s">
        <v>50</v>
      </c>
      <c r="L47" s="10" t="s">
        <v>34</v>
      </c>
      <c r="M47" s="7">
        <v>1</v>
      </c>
      <c r="N47" s="45">
        <v>0</v>
      </c>
      <c r="O47" s="42" t="str">
        <f t="shared" si="9"/>
        <v>Bonus Received</v>
      </c>
      <c r="P47" s="42" t="str">
        <f>IF(Employee_Sales_Data!I47&gt;Employee_Sales_Data!J47,"Target Achieved","Target Missed")</f>
        <v>Target Missed</v>
      </c>
      <c r="Q47" s="42" t="str">
        <f t="shared" si="4"/>
        <v>Junior Pay Band</v>
      </c>
      <c r="R47" s="42" t="str">
        <f t="shared" si="5"/>
        <v>Current Employee</v>
      </c>
      <c r="S47" s="46" t="str">
        <f t="shared" si="10"/>
        <v>Young Talent</v>
      </c>
      <c r="T47" s="46" t="str">
        <f t="shared" si="11"/>
        <v>Grade C</v>
      </c>
      <c r="U47" s="46" t="str">
        <f t="shared" si="12"/>
        <v>3</v>
      </c>
      <c r="V47" s="46" t="str">
        <f t="shared" si="13"/>
        <v>Fresher</v>
      </c>
      <c r="W47" s="46" t="str">
        <f>IF(Table1[[#This Row],[Sales Status]]="Target Missed","Needs Improvement",IF(AND(Table1[[#This Row],[Sales Status]]="Achieved",W48="Excellent"),
        "Star",
        "Achiever"
    )
)</f>
        <v>Needs Improvement</v>
      </c>
      <c r="X47" s="46" t="str">
        <f t="shared" si="14"/>
        <v>Gen-Z</v>
      </c>
      <c r="Y47" s="46" t="str">
        <f t="shared" si="15"/>
        <v>No Bonus</v>
      </c>
    </row>
    <row r="48" spans="1:25" ht="15" customHeight="1">
      <c r="A48" s="3" t="s">
        <v>177</v>
      </c>
      <c r="B48" s="4" t="s">
        <v>178</v>
      </c>
      <c r="C48" s="3" t="s">
        <v>53</v>
      </c>
      <c r="D48" s="3" t="s">
        <v>38</v>
      </c>
      <c r="E48" s="3" t="s">
        <v>31</v>
      </c>
      <c r="F48" s="3">
        <v>52</v>
      </c>
      <c r="G48" s="3" t="s">
        <v>179</v>
      </c>
      <c r="H48" s="5">
        <v>110000</v>
      </c>
      <c r="I48" s="5">
        <v>0</v>
      </c>
      <c r="J48" s="5">
        <v>0</v>
      </c>
      <c r="K48" s="3" t="s">
        <v>33</v>
      </c>
      <c r="L48" s="6" t="s">
        <v>34</v>
      </c>
      <c r="M48" s="3">
        <v>15</v>
      </c>
      <c r="N48" s="44">
        <v>14000</v>
      </c>
      <c r="O48" s="42" t="str">
        <f t="shared" si="9"/>
        <v>Bonus Received</v>
      </c>
      <c r="P48" s="42" t="str">
        <f>IF(Employee_Sales_Data!I48&gt;Employee_Sales_Data!J48,"Target Achieved","Target Missed")</f>
        <v>Target Missed</v>
      </c>
      <c r="Q48" s="42" t="str">
        <f t="shared" si="4"/>
        <v>Senoir Pay Band</v>
      </c>
      <c r="R48" s="42" t="str">
        <f t="shared" si="5"/>
        <v>Current Employee</v>
      </c>
      <c r="S48" s="46" t="str">
        <f t="shared" si="10"/>
        <v>Vetaran</v>
      </c>
      <c r="T48" s="46" t="str">
        <f t="shared" si="11"/>
        <v>Grade A</v>
      </c>
      <c r="U48" s="46" t="str">
        <f t="shared" si="12"/>
        <v>5</v>
      </c>
      <c r="V48" s="46" t="str">
        <f t="shared" si="13"/>
        <v>Senior</v>
      </c>
      <c r="W48" s="46" t="str">
        <f>IF(Table1[[#This Row],[Sales Status]]="Target Missed","Needs Improvement",IF(AND(Table1[[#This Row],[Sales Status]]="Achieved",W49="Excellent"),
        "Star",
        "Achiever"
    )
)</f>
        <v>Needs Improvement</v>
      </c>
      <c r="X48" s="46" t="str">
        <f t="shared" si="14"/>
        <v>Gen X</v>
      </c>
      <c r="Y48" s="46" t="str">
        <f t="shared" si="15"/>
        <v>Premium</v>
      </c>
    </row>
    <row r="49" spans="1:25" ht="15" customHeight="1">
      <c r="A49" s="7" t="s">
        <v>180</v>
      </c>
      <c r="B49" s="8" t="s">
        <v>181</v>
      </c>
      <c r="C49" s="7" t="s">
        <v>29</v>
      </c>
      <c r="D49" s="7" t="s">
        <v>45</v>
      </c>
      <c r="E49" s="7" t="s">
        <v>39</v>
      </c>
      <c r="F49" s="7">
        <v>33</v>
      </c>
      <c r="G49" s="7" t="s">
        <v>182</v>
      </c>
      <c r="H49" s="9">
        <v>55000</v>
      </c>
      <c r="I49" s="9">
        <v>188000</v>
      </c>
      <c r="J49" s="9">
        <v>180000</v>
      </c>
      <c r="K49" s="7" t="s">
        <v>41</v>
      </c>
      <c r="L49" s="10" t="s">
        <v>34</v>
      </c>
      <c r="M49" s="7">
        <v>6</v>
      </c>
      <c r="N49" s="45">
        <v>8500</v>
      </c>
      <c r="O49" s="42" t="str">
        <f t="shared" si="9"/>
        <v>Bonus Received</v>
      </c>
      <c r="P49" s="42" t="str">
        <f>IF(Employee_Sales_Data!I49&gt;Employee_Sales_Data!J49,"Target Achieved","Target Missed")</f>
        <v>Target Achieved</v>
      </c>
      <c r="Q49" s="42" t="str">
        <f t="shared" si="4"/>
        <v>Junior Pay Band</v>
      </c>
      <c r="R49" s="42" t="str">
        <f t="shared" si="5"/>
        <v>Current Employee</v>
      </c>
      <c r="S49" s="46" t="str">
        <f t="shared" si="10"/>
        <v>Young Talent</v>
      </c>
      <c r="T49" s="46" t="str">
        <f t="shared" si="11"/>
        <v>Grade B</v>
      </c>
      <c r="U49" s="46" t="str">
        <f t="shared" si="12"/>
        <v>4</v>
      </c>
      <c r="V49" s="46" t="str">
        <f t="shared" si="13"/>
        <v>Mid Level</v>
      </c>
      <c r="W49" s="46" t="str">
        <f>IF(Table1[[#This Row],[Sales Status]]="Target Missed","Needs Improvement",IF(AND(Table1[[#This Row],[Sales Status]]="Achieved",W50="Excellent"),
        "Star",
        "Achiever"
    )
)</f>
        <v>Achiever</v>
      </c>
      <c r="X49" s="46" t="str">
        <f t="shared" si="14"/>
        <v>Millennial</v>
      </c>
      <c r="Y49" s="46" t="str">
        <f t="shared" si="15"/>
        <v>Premium</v>
      </c>
    </row>
    <row r="50" spans="1:25" ht="15" customHeight="1">
      <c r="A50" s="3" t="s">
        <v>183</v>
      </c>
      <c r="B50" s="4" t="s">
        <v>184</v>
      </c>
      <c r="C50" s="3" t="s">
        <v>37</v>
      </c>
      <c r="D50" s="3" t="s">
        <v>69</v>
      </c>
      <c r="E50" s="3" t="s">
        <v>31</v>
      </c>
      <c r="F50" s="3">
        <v>39</v>
      </c>
      <c r="G50" s="3" t="s">
        <v>185</v>
      </c>
      <c r="H50" s="5">
        <v>67000</v>
      </c>
      <c r="I50" s="5">
        <v>0</v>
      </c>
      <c r="J50" s="5">
        <v>0</v>
      </c>
      <c r="K50" s="3" t="s">
        <v>41</v>
      </c>
      <c r="L50" s="6" t="s">
        <v>34</v>
      </c>
      <c r="M50" s="3">
        <v>9</v>
      </c>
      <c r="N50" s="44">
        <v>6700</v>
      </c>
      <c r="O50" s="42" t="str">
        <f t="shared" si="9"/>
        <v>No Bonus</v>
      </c>
      <c r="P50" s="42" t="str">
        <f>IF(Employee_Sales_Data!I50&gt;Employee_Sales_Data!J50,"Target Achieved","Target Missed")</f>
        <v>Target Missed</v>
      </c>
      <c r="Q50" s="42" t="str">
        <f t="shared" si="4"/>
        <v>Junior Pay Band</v>
      </c>
      <c r="R50" s="42" t="str">
        <f t="shared" si="5"/>
        <v>Current Employee</v>
      </c>
      <c r="S50" s="46" t="str">
        <f t="shared" si="10"/>
        <v>Young Talent</v>
      </c>
      <c r="T50" s="46" t="str">
        <f t="shared" si="11"/>
        <v>Grade B</v>
      </c>
      <c r="U50" s="46" t="str">
        <f t="shared" si="12"/>
        <v>4</v>
      </c>
      <c r="V50" s="46" t="str">
        <f t="shared" si="13"/>
        <v>Senior</v>
      </c>
      <c r="W50" s="46" t="str">
        <f>IF(Table1[[#This Row],[Sales Status]]="Target Missed","Needs Improvement",IF(AND(Table1[[#This Row],[Sales Status]]="Achieved",W51="Excellent"),
        "Star",
        "Achiever"
    )
)</f>
        <v>Needs Improvement</v>
      </c>
      <c r="X50" s="46" t="str">
        <f t="shared" si="14"/>
        <v>Millennial</v>
      </c>
      <c r="Y50" s="46" t="str">
        <f t="shared" si="15"/>
        <v>Stanadard</v>
      </c>
    </row>
    <row r="51" spans="1:25" ht="15" customHeight="1">
      <c r="A51" s="7" t="s">
        <v>186</v>
      </c>
      <c r="B51" s="8" t="s">
        <v>187</v>
      </c>
      <c r="C51" s="7" t="s">
        <v>29</v>
      </c>
      <c r="D51" s="7" t="s">
        <v>64</v>
      </c>
      <c r="E51" s="7" t="s">
        <v>39</v>
      </c>
      <c r="F51" s="7">
        <v>30</v>
      </c>
      <c r="G51" s="7" t="s">
        <v>188</v>
      </c>
      <c r="H51" s="9">
        <v>52000</v>
      </c>
      <c r="I51" s="9">
        <v>145000</v>
      </c>
      <c r="J51" s="9">
        <v>180000</v>
      </c>
      <c r="K51" s="7" t="s">
        <v>77</v>
      </c>
      <c r="L51" s="10" t="s">
        <v>34</v>
      </c>
      <c r="M51" s="7">
        <v>5</v>
      </c>
      <c r="N51" s="45">
        <v>0</v>
      </c>
      <c r="O51" s="42" t="str">
        <f t="shared" si="9"/>
        <v>No Bonus</v>
      </c>
      <c r="P51" s="42" t="str">
        <f>IF(Employee_Sales_Data!I51&gt;Employee_Sales_Data!J51,"Target Achieved","Target Missed")</f>
        <v>Target Missed</v>
      </c>
      <c r="Q51" s="42" t="str">
        <f t="shared" si="4"/>
        <v>Junior Pay Band</v>
      </c>
      <c r="R51" s="42" t="str">
        <f t="shared" si="5"/>
        <v>Current Employee</v>
      </c>
      <c r="S51" s="46" t="str">
        <f t="shared" si="10"/>
        <v>Young Talent</v>
      </c>
      <c r="T51" s="46" t="str">
        <f t="shared" si="11"/>
        <v>Grade B</v>
      </c>
      <c r="U51" s="46" t="str">
        <f t="shared" si="12"/>
        <v>2</v>
      </c>
      <c r="V51" s="46" t="str">
        <f t="shared" si="13"/>
        <v>Mid Level</v>
      </c>
      <c r="W51" s="46" t="str">
        <f>IF(Table1[[#This Row],[Sales Status]]="Target Missed","Needs Improvement",IF(AND(Table1[[#This Row],[Sales Status]]="Achieved",W52="Excellent"),
        "Star",
        "Achiever"
    )
)</f>
        <v>Needs Improvement</v>
      </c>
      <c r="X51" s="46" t="str">
        <f t="shared" si="14"/>
        <v>Millennial</v>
      </c>
      <c r="Y51" s="46" t="str">
        <f t="shared" si="15"/>
        <v>No Bonus</v>
      </c>
    </row>
    <row r="52" spans="1:25" ht="15" customHeight="1">
      <c r="A52" s="3" t="s">
        <v>189</v>
      </c>
      <c r="B52" s="4" t="s">
        <v>190</v>
      </c>
      <c r="C52" s="3" t="s">
        <v>44</v>
      </c>
      <c r="D52" s="3" t="s">
        <v>30</v>
      </c>
      <c r="E52" s="3" t="s">
        <v>31</v>
      </c>
      <c r="F52" s="3">
        <v>25</v>
      </c>
      <c r="G52" s="3" t="s">
        <v>191</v>
      </c>
      <c r="H52" s="5">
        <v>66000</v>
      </c>
      <c r="I52" s="5">
        <v>0</v>
      </c>
      <c r="J52" s="5">
        <v>0</v>
      </c>
      <c r="K52" s="3" t="s">
        <v>50</v>
      </c>
      <c r="L52" s="6" t="s">
        <v>34</v>
      </c>
      <c r="M52" s="3">
        <v>1</v>
      </c>
      <c r="N52" s="44">
        <v>0</v>
      </c>
      <c r="O52" s="42" t="str">
        <f t="shared" si="9"/>
        <v>Bonus Received</v>
      </c>
      <c r="P52" s="42" t="str">
        <f>IF(Employee_Sales_Data!I52&gt;Employee_Sales_Data!J52,"Target Achieved","Target Missed")</f>
        <v>Target Missed</v>
      </c>
      <c r="Q52" s="42" t="str">
        <f t="shared" si="4"/>
        <v>Junior Pay Band</v>
      </c>
      <c r="R52" s="42" t="str">
        <f t="shared" si="5"/>
        <v>Current Employee</v>
      </c>
      <c r="S52" s="46" t="str">
        <f t="shared" si="10"/>
        <v>Young Talent</v>
      </c>
      <c r="T52" s="46" t="str">
        <f t="shared" si="11"/>
        <v>Grade B</v>
      </c>
      <c r="U52" s="46" t="str">
        <f t="shared" si="12"/>
        <v>3</v>
      </c>
      <c r="V52" s="46" t="str">
        <f t="shared" si="13"/>
        <v>Fresher</v>
      </c>
      <c r="W52" s="46" t="str">
        <f>IF(Table1[[#This Row],[Sales Status]]="Target Missed","Needs Improvement",IF(AND(Table1[[#This Row],[Sales Status]]="Achieved",W53="Excellent"),
        "Star",
        "Achiever"
    )
)</f>
        <v>Needs Improvement</v>
      </c>
      <c r="X52" s="46" t="str">
        <f t="shared" si="14"/>
        <v>Gen-Z</v>
      </c>
      <c r="Y52" s="46" t="str">
        <f t="shared" si="15"/>
        <v>No Bonus</v>
      </c>
    </row>
    <row r="53" spans="1:25" ht="15" customHeight="1">
      <c r="A53" s="7" t="s">
        <v>192</v>
      </c>
      <c r="B53" s="8" t="s">
        <v>193</v>
      </c>
      <c r="C53" s="7" t="s">
        <v>29</v>
      </c>
      <c r="D53" s="7" t="s">
        <v>54</v>
      </c>
      <c r="E53" s="7" t="s">
        <v>39</v>
      </c>
      <c r="F53" s="7">
        <v>28</v>
      </c>
      <c r="G53" s="7" t="s">
        <v>194</v>
      </c>
      <c r="H53" s="9">
        <v>50000</v>
      </c>
      <c r="I53" s="9">
        <v>202000</v>
      </c>
      <c r="J53" s="9">
        <v>200000</v>
      </c>
      <c r="K53" s="7" t="s">
        <v>41</v>
      </c>
      <c r="L53" s="10" t="s">
        <v>34</v>
      </c>
      <c r="M53" s="7">
        <v>3</v>
      </c>
      <c r="N53" s="45">
        <v>8500</v>
      </c>
      <c r="O53" s="42" t="str">
        <f t="shared" si="9"/>
        <v>No Bonus</v>
      </c>
      <c r="P53" s="42" t="str">
        <f>IF(Employee_Sales_Data!I53&gt;Employee_Sales_Data!J53,"Target Achieved","Target Missed")</f>
        <v>Target Achieved</v>
      </c>
      <c r="Q53" s="42" t="str">
        <f t="shared" si="4"/>
        <v>Junior Pay Band</v>
      </c>
      <c r="R53" s="42" t="str">
        <f t="shared" si="5"/>
        <v>Current Employee</v>
      </c>
      <c r="S53" s="46" t="str">
        <f t="shared" si="10"/>
        <v>Young Talent</v>
      </c>
      <c r="T53" s="46" t="str">
        <f t="shared" si="11"/>
        <v>Grade C</v>
      </c>
      <c r="U53" s="46" t="str">
        <f t="shared" si="12"/>
        <v>4</v>
      </c>
      <c r="V53" s="46" t="str">
        <f t="shared" si="13"/>
        <v>Mid Level</v>
      </c>
      <c r="W53" s="46" t="str">
        <f>IF(Table1[[#This Row],[Sales Status]]="Target Missed","Needs Improvement",IF(AND(Table1[[#This Row],[Sales Status]]="Achieved",W54="Excellent"),
        "Star",
        "Achiever"
    )
)</f>
        <v>Achiever</v>
      </c>
      <c r="X53" s="46" t="str">
        <f t="shared" si="14"/>
        <v>Gen-Z</v>
      </c>
      <c r="Y53" s="46" t="str">
        <f t="shared" si="15"/>
        <v>Premium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showGridLines="0" zoomScaleNormal="100" workbookViewId="0">
      <pane ySplit="3" topLeftCell="A38" activePane="bottomLeft" state="frozen"/>
      <selection pane="bottomLeft" activeCell="C4" sqref="C4:C53"/>
    </sheetView>
  </sheetViews>
  <sheetFormatPr defaultColWidth="8.7109375" defaultRowHeight="15"/>
  <cols>
    <col min="1" max="1" width="6" style="1" customWidth="1"/>
    <col min="2" max="2" width="18" style="1" customWidth="1"/>
    <col min="3" max="3" width="64" style="1" customWidth="1"/>
    <col min="4" max="4" width="22" style="1" customWidth="1"/>
    <col min="5" max="5" width="38" style="1" customWidth="1"/>
  </cols>
  <sheetData>
    <row r="1" spans="1:5" ht="31.5" customHeight="1">
      <c r="A1" s="48" t="s">
        <v>195</v>
      </c>
      <c r="B1" s="48"/>
      <c r="C1" s="48"/>
      <c r="D1" s="48"/>
      <c r="E1" s="48"/>
    </row>
    <row r="2" spans="1:5" ht="19.5" customHeight="1">
      <c r="A2" s="49" t="s">
        <v>196</v>
      </c>
      <c r="B2" s="49"/>
      <c r="C2" s="49"/>
      <c r="D2" s="49"/>
      <c r="E2" s="49"/>
    </row>
    <row r="3" spans="1:5" ht="30" customHeight="1">
      <c r="A3" s="13" t="s">
        <v>197</v>
      </c>
      <c r="B3" s="13" t="s">
        <v>198</v>
      </c>
      <c r="C3" s="13" t="s">
        <v>199</v>
      </c>
      <c r="D3" s="14" t="s">
        <v>200</v>
      </c>
      <c r="E3" s="14" t="s">
        <v>201</v>
      </c>
    </row>
    <row r="4" spans="1:5" ht="39.75" customHeight="1">
      <c r="A4" s="13">
        <v>1</v>
      </c>
      <c r="B4" s="15" t="s">
        <v>202</v>
      </c>
      <c r="C4" s="8" t="s">
        <v>203</v>
      </c>
      <c r="D4" s="16">
        <f>AVERAGE(Employee_Sales_Data!H4:H53)</f>
        <v>66420</v>
      </c>
      <c r="E4" s="17" t="s">
        <v>204</v>
      </c>
    </row>
    <row r="5" spans="1:5" ht="39.75" customHeight="1">
      <c r="A5" s="13">
        <v>2</v>
      </c>
      <c r="B5" s="15" t="s">
        <v>202</v>
      </c>
      <c r="C5" s="8" t="s">
        <v>205</v>
      </c>
      <c r="D5" s="16">
        <f>AVERAGE(Employee_Sales_Data!F4:F53)</f>
        <v>33.479999999999997</v>
      </c>
      <c r="E5" s="17" t="s">
        <v>206</v>
      </c>
    </row>
    <row r="6" spans="1:5" ht="39.75" customHeight="1">
      <c r="A6" s="13">
        <v>3</v>
      </c>
      <c r="B6" s="15" t="s">
        <v>202</v>
      </c>
      <c r="C6" s="8" t="s">
        <v>207</v>
      </c>
      <c r="D6" s="16">
        <f>AVERAGEIF(Employee_Sales_Data!I4:I53,"&gt;0")</f>
        <v>179833.33333333334</v>
      </c>
      <c r="E6" s="17" t="s">
        <v>208</v>
      </c>
    </row>
    <row r="7" spans="1:5" ht="39.75" customHeight="1">
      <c r="A7" s="13">
        <v>4</v>
      </c>
      <c r="B7" s="15" t="s">
        <v>202</v>
      </c>
      <c r="C7" s="8" t="s">
        <v>209</v>
      </c>
      <c r="D7" s="16">
        <f>AVERAGE(Employee_Sales_Data!N4:N53)</f>
        <v>6294.4</v>
      </c>
      <c r="E7" s="17" t="s">
        <v>210</v>
      </c>
    </row>
    <row r="8" spans="1:5" ht="39.75" customHeight="1">
      <c r="A8" s="13">
        <v>5</v>
      </c>
      <c r="B8" s="15" t="s">
        <v>202</v>
      </c>
      <c r="C8" s="8" t="s">
        <v>211</v>
      </c>
      <c r="D8" s="16">
        <f>AVERAGE(Employee_Sales_Data!M4:M53)</f>
        <v>6</v>
      </c>
      <c r="E8" s="17" t="s">
        <v>212</v>
      </c>
    </row>
    <row r="9" spans="1:5" ht="39.75" customHeight="1">
      <c r="A9" s="13">
        <v>6</v>
      </c>
      <c r="B9" s="18" t="s">
        <v>213</v>
      </c>
      <c r="C9" s="8" t="s">
        <v>214</v>
      </c>
      <c r="D9" s="16">
        <f>SUM(Employee_Sales_Data!H4:H53)</f>
        <v>3321000</v>
      </c>
      <c r="E9" s="17" t="s">
        <v>204</v>
      </c>
    </row>
    <row r="10" spans="1:5" ht="39.75" customHeight="1">
      <c r="A10" s="13">
        <v>7</v>
      </c>
      <c r="B10" s="18" t="s">
        <v>213</v>
      </c>
      <c r="C10" s="8" t="s">
        <v>215</v>
      </c>
      <c r="D10" s="16">
        <f>SUM(Employee_Sales_Data!I4:I53)</f>
        <v>4316000</v>
      </c>
      <c r="E10" s="17" t="s">
        <v>208</v>
      </c>
    </row>
    <row r="11" spans="1:5" ht="39.75" customHeight="1">
      <c r="A11" s="13">
        <v>8</v>
      </c>
      <c r="B11" s="18" t="s">
        <v>213</v>
      </c>
      <c r="C11" s="8" t="s">
        <v>216</v>
      </c>
      <c r="D11" s="16">
        <f>SUM(Employee_Sales_Data!N4:N53)</f>
        <v>314720</v>
      </c>
      <c r="E11" s="17" t="s">
        <v>210</v>
      </c>
    </row>
    <row r="12" spans="1:5" ht="39.75" customHeight="1">
      <c r="A12" s="13">
        <v>9</v>
      </c>
      <c r="B12" s="18" t="s">
        <v>213</v>
      </c>
      <c r="C12" s="8" t="s">
        <v>217</v>
      </c>
      <c r="D12" s="16">
        <f>AVERAGE(Employee_Sales_Data!J4:J53)</f>
        <v>88000</v>
      </c>
      <c r="E12" s="17" t="s">
        <v>218</v>
      </c>
    </row>
    <row r="13" spans="1:5" ht="39.75" customHeight="1">
      <c r="A13" s="13">
        <v>10</v>
      </c>
      <c r="B13" s="18" t="s">
        <v>213</v>
      </c>
      <c r="C13" s="8" t="s">
        <v>219</v>
      </c>
      <c r="D13" s="16">
        <f>SUMIF(Employee_Sales_Data!M4:M53,"&gt;5",Employee_Sales_Data!H4:H53)</f>
        <v>2019000</v>
      </c>
      <c r="E13" s="17" t="s">
        <v>220</v>
      </c>
    </row>
    <row r="14" spans="1:5" ht="39.75" customHeight="1">
      <c r="A14" s="13">
        <v>11</v>
      </c>
      <c r="B14" s="19" t="s">
        <v>221</v>
      </c>
      <c r="C14" s="8" t="s">
        <v>222</v>
      </c>
      <c r="D14" s="16">
        <f>COUNT(Employee_Sales_Data!N4:N53)</f>
        <v>50</v>
      </c>
      <c r="E14" s="17" t="s">
        <v>210</v>
      </c>
    </row>
    <row r="15" spans="1:5" ht="39.75" customHeight="1">
      <c r="A15" s="13">
        <v>12</v>
      </c>
      <c r="B15" s="19" t="s">
        <v>221</v>
      </c>
      <c r="C15" s="8" t="s">
        <v>223</v>
      </c>
      <c r="D15" s="16">
        <f>COUNT(Employee_Sales_Data!I4:I53)</f>
        <v>50</v>
      </c>
      <c r="E15" s="17" t="s">
        <v>208</v>
      </c>
    </row>
    <row r="16" spans="1:5" ht="39.75" customHeight="1">
      <c r="A16" s="13">
        <v>13</v>
      </c>
      <c r="B16" s="19" t="s">
        <v>221</v>
      </c>
      <c r="C16" s="8" t="s">
        <v>224</v>
      </c>
      <c r="D16" s="16">
        <f>AVERAGE(Employee_Sales_Data!F4:F53)</f>
        <v>33.479999999999997</v>
      </c>
      <c r="E16" s="17" t="s">
        <v>206</v>
      </c>
    </row>
    <row r="17" spans="1:5" ht="39.75" customHeight="1">
      <c r="A17" s="13">
        <v>14</v>
      </c>
      <c r="B17" s="19" t="s">
        <v>221</v>
      </c>
      <c r="C17" s="8" t="s">
        <v>225</v>
      </c>
      <c r="D17" s="16">
        <f>COUNTA(Employee_Sales_Data!G4:G53)</f>
        <v>50</v>
      </c>
      <c r="E17" s="17" t="s">
        <v>226</v>
      </c>
    </row>
    <row r="18" spans="1:5" ht="39.75" customHeight="1">
      <c r="A18" s="13">
        <v>15</v>
      </c>
      <c r="B18" s="20" t="s">
        <v>227</v>
      </c>
      <c r="C18" s="8" t="s">
        <v>228</v>
      </c>
      <c r="D18" s="16">
        <f>COUNTA(Employee_Sales_Data!K4:K53)</f>
        <v>50</v>
      </c>
      <c r="E18" s="17" t="s">
        <v>229</v>
      </c>
    </row>
    <row r="19" spans="1:5" ht="39.75" customHeight="1">
      <c r="A19" s="13">
        <v>16</v>
      </c>
      <c r="B19" s="20" t="s">
        <v>227</v>
      </c>
      <c r="C19" s="8" t="s">
        <v>230</v>
      </c>
      <c r="D19" s="16">
        <f>COUNTA(Employee_Sales_Data!B4:B53)</f>
        <v>50</v>
      </c>
      <c r="E19" s="17" t="s">
        <v>231</v>
      </c>
    </row>
    <row r="20" spans="1:5" ht="39.75" customHeight="1">
      <c r="A20" s="13">
        <v>17</v>
      </c>
      <c r="B20" s="20" t="s">
        <v>227</v>
      </c>
      <c r="C20" s="8" t="s">
        <v>232</v>
      </c>
      <c r="D20" s="16">
        <f ca="1">COUNTA(Employee_Sales_Data!D4:D53)</f>
        <v>50</v>
      </c>
      <c r="E20" s="17" t="s">
        <v>233</v>
      </c>
    </row>
    <row r="21" spans="1:5" ht="39.75" customHeight="1">
      <c r="A21" s="13">
        <v>18</v>
      </c>
      <c r="B21" s="21" t="s">
        <v>234</v>
      </c>
      <c r="C21" s="8" t="s">
        <v>235</v>
      </c>
      <c r="D21" s="16">
        <f>COUNTBLANK(Employee_Sales_Data!N4:N53)</f>
        <v>0</v>
      </c>
      <c r="E21" s="17" t="s">
        <v>210</v>
      </c>
    </row>
    <row r="22" spans="1:5" ht="39.75" customHeight="1">
      <c r="A22" s="13">
        <v>19</v>
      </c>
      <c r="B22" s="21" t="s">
        <v>234</v>
      </c>
      <c r="C22" s="8" t="s">
        <v>236</v>
      </c>
      <c r="D22" s="16">
        <f>COUNTBLANK(Employee_Sales_Data!I4:I53)</f>
        <v>0</v>
      </c>
      <c r="E22" s="17" t="s">
        <v>208</v>
      </c>
    </row>
    <row r="23" spans="1:5" ht="39.75" customHeight="1">
      <c r="A23" s="13">
        <v>20</v>
      </c>
      <c r="B23" s="21" t="s">
        <v>234</v>
      </c>
      <c r="C23" s="8" t="s">
        <v>237</v>
      </c>
      <c r="D23" s="16">
        <f>COUNTBLANK(Employee_Sales_Data!J4:J53)</f>
        <v>0</v>
      </c>
      <c r="E23" s="17" t="s">
        <v>218</v>
      </c>
    </row>
    <row r="24" spans="1:5" ht="39.75" customHeight="1">
      <c r="A24" s="13">
        <v>21</v>
      </c>
      <c r="B24" s="22" t="s">
        <v>238</v>
      </c>
      <c r="C24" s="8" t="s">
        <v>239</v>
      </c>
      <c r="D24" s="16"/>
      <c r="E24" s="17" t="s">
        <v>240</v>
      </c>
    </row>
    <row r="25" spans="1:5" ht="39.75" customHeight="1">
      <c r="A25" s="13">
        <v>22</v>
      </c>
      <c r="B25" s="22" t="s">
        <v>238</v>
      </c>
      <c r="C25" s="8" t="s">
        <v>241</v>
      </c>
      <c r="D25" s="16"/>
      <c r="E25" s="17" t="s">
        <v>242</v>
      </c>
    </row>
    <row r="26" spans="1:5" ht="39.75" customHeight="1">
      <c r="A26" s="13">
        <v>23</v>
      </c>
      <c r="B26" s="22" t="s">
        <v>238</v>
      </c>
      <c r="C26" s="8" t="s">
        <v>243</v>
      </c>
      <c r="D26" s="16"/>
      <c r="E26" s="17" t="s">
        <v>204</v>
      </c>
    </row>
    <row r="27" spans="1:5" ht="39.75" customHeight="1">
      <c r="A27" s="13">
        <v>24</v>
      </c>
      <c r="B27" s="22" t="s">
        <v>238</v>
      </c>
      <c r="C27" s="8" t="s">
        <v>244</v>
      </c>
      <c r="D27" s="16"/>
      <c r="E27" s="17" t="s">
        <v>245</v>
      </c>
    </row>
    <row r="28" spans="1:5" ht="39.75" customHeight="1">
      <c r="A28" s="13">
        <v>25</v>
      </c>
      <c r="B28" s="22" t="s">
        <v>238</v>
      </c>
      <c r="C28" s="8" t="s">
        <v>246</v>
      </c>
      <c r="D28" s="16"/>
      <c r="E28" s="17" t="s">
        <v>206</v>
      </c>
    </row>
    <row r="29" spans="1:5" ht="39.75" customHeight="1">
      <c r="A29" s="13">
        <v>26</v>
      </c>
      <c r="B29" s="23" t="s">
        <v>247</v>
      </c>
      <c r="C29" s="8" t="s">
        <v>248</v>
      </c>
      <c r="D29" s="16"/>
      <c r="E29" s="17" t="s">
        <v>204</v>
      </c>
    </row>
    <row r="30" spans="1:5" ht="39.75" customHeight="1">
      <c r="A30" s="13">
        <v>27</v>
      </c>
      <c r="B30" s="23" t="s">
        <v>247</v>
      </c>
      <c r="C30" s="8" t="s">
        <v>249</v>
      </c>
      <c r="D30" s="16"/>
      <c r="E30" s="17" t="s">
        <v>229</v>
      </c>
    </row>
    <row r="31" spans="1:5" ht="39.75" customHeight="1">
      <c r="A31" s="13">
        <v>28</v>
      </c>
      <c r="B31" s="23" t="s">
        <v>247</v>
      </c>
      <c r="C31" s="8" t="s">
        <v>250</v>
      </c>
      <c r="D31" s="16"/>
      <c r="E31" s="17" t="s">
        <v>212</v>
      </c>
    </row>
    <row r="32" spans="1:5" ht="39.75" customHeight="1">
      <c r="A32" s="13">
        <v>29</v>
      </c>
      <c r="B32" s="23" t="s">
        <v>247</v>
      </c>
      <c r="C32" s="8" t="s">
        <v>251</v>
      </c>
      <c r="D32" s="16"/>
      <c r="E32" s="17" t="s">
        <v>252</v>
      </c>
    </row>
    <row r="33" spans="1:5" ht="39.75" customHeight="1">
      <c r="A33" s="13">
        <v>30</v>
      </c>
      <c r="B33" s="23" t="s">
        <v>247</v>
      </c>
      <c r="C33" s="8" t="s">
        <v>253</v>
      </c>
      <c r="D33" s="16"/>
      <c r="E33" s="17" t="s">
        <v>206</v>
      </c>
    </row>
    <row r="34" spans="1:5" ht="39.75" customHeight="1">
      <c r="A34" s="13">
        <v>31</v>
      </c>
      <c r="B34" s="23" t="s">
        <v>247</v>
      </c>
      <c r="C34" s="8" t="s">
        <v>254</v>
      </c>
      <c r="D34" s="16"/>
      <c r="E34" s="17" t="s">
        <v>210</v>
      </c>
    </row>
    <row r="35" spans="1:5" ht="39.75" customHeight="1">
      <c r="A35" s="13">
        <v>32</v>
      </c>
      <c r="B35" s="24" t="s">
        <v>255</v>
      </c>
      <c r="C35" s="8" t="s">
        <v>256</v>
      </c>
      <c r="D35" s="16">
        <f>COUNTIF(Employee_Sales_Data!C4:C53,"SALES")</f>
        <v>24</v>
      </c>
      <c r="E35" s="17" t="s">
        <v>257</v>
      </c>
    </row>
    <row r="36" spans="1:5" ht="39.75" customHeight="1">
      <c r="A36" s="13">
        <v>33</v>
      </c>
      <c r="B36" s="24" t="s">
        <v>255</v>
      </c>
      <c r="C36" s="8" t="s">
        <v>258</v>
      </c>
      <c r="D36" s="16">
        <f>COUNTIF(Employee_Sales_Data!L4:L53,"Active")</f>
        <v>46</v>
      </c>
      <c r="E36" s="17" t="s">
        <v>245</v>
      </c>
    </row>
    <row r="37" spans="1:5" ht="39.75" customHeight="1">
      <c r="A37" s="13">
        <v>34</v>
      </c>
      <c r="B37" s="24" t="s">
        <v>255</v>
      </c>
      <c r="C37" s="8" t="s">
        <v>259</v>
      </c>
      <c r="D37" s="16">
        <f>COUNTIF(Employee_Sales_Data!K4:K53,"Good")</f>
        <v>19</v>
      </c>
      <c r="E37" s="17" t="s">
        <v>229</v>
      </c>
    </row>
    <row r="38" spans="1:5" ht="39.75" customHeight="1">
      <c r="A38" s="13">
        <v>35</v>
      </c>
      <c r="B38" s="24" t="s">
        <v>255</v>
      </c>
      <c r="C38" s="8" t="s">
        <v>260</v>
      </c>
      <c r="D38" s="16">
        <f>COUNTIF(Employee_Sales_Data!E4:E53,"Female")</f>
        <v>25</v>
      </c>
      <c r="E38" s="17" t="s">
        <v>261</v>
      </c>
    </row>
    <row r="39" spans="1:5" ht="39.75" customHeight="1">
      <c r="A39" s="13">
        <v>36</v>
      </c>
      <c r="B39" s="24" t="s">
        <v>255</v>
      </c>
      <c r="C39" s="8" t="s">
        <v>262</v>
      </c>
      <c r="D39" s="16">
        <f ca="1">COUNTIF(Employee_Sales_Data!D4:D53,"Mumbai")</f>
        <v>10</v>
      </c>
      <c r="E39" s="17" t="s">
        <v>233</v>
      </c>
    </row>
    <row r="40" spans="1:5" ht="39.75" customHeight="1">
      <c r="A40" s="13">
        <v>37</v>
      </c>
      <c r="B40" s="25" t="s">
        <v>263</v>
      </c>
      <c r="C40" s="8" t="s">
        <v>264</v>
      </c>
      <c r="D40" s="16">
        <f>SUMIF(Employee_Sales_Data!C4:C53,"Finance",Employee_Sales_Data!H4:H53)</f>
        <v>867000</v>
      </c>
      <c r="E40" s="17" t="s">
        <v>265</v>
      </c>
    </row>
    <row r="41" spans="1:5" ht="39.75" customHeight="1">
      <c r="A41" s="13">
        <v>38</v>
      </c>
      <c r="B41" s="25" t="s">
        <v>263</v>
      </c>
      <c r="C41" s="8" t="s">
        <v>266</v>
      </c>
      <c r="D41" s="16">
        <f>SUMIF(Employee_Sales_Data!L4:L53,"Active",Employee_Sales_Data!N4:N53)</f>
        <v>314720</v>
      </c>
      <c r="E41" s="17" t="s">
        <v>267</v>
      </c>
    </row>
    <row r="42" spans="1:5" ht="39.75" customHeight="1">
      <c r="A42" s="13">
        <v>39</v>
      </c>
      <c r="B42" s="25" t="s">
        <v>263</v>
      </c>
      <c r="C42" s="8" t="s">
        <v>268</v>
      </c>
      <c r="D42" s="16">
        <f ca="1">SUMIF(Employee_Sales_Data!D4:D53,"Chennai",Employee_Sales_Data!I4:I53)</f>
        <v>823000</v>
      </c>
      <c r="E42" s="17" t="s">
        <v>269</v>
      </c>
    </row>
    <row r="43" spans="1:5" ht="39.75" customHeight="1">
      <c r="A43" s="13">
        <v>40</v>
      </c>
      <c r="B43" s="25" t="s">
        <v>263</v>
      </c>
      <c r="C43" s="8" t="s">
        <v>270</v>
      </c>
      <c r="D43" s="16">
        <f>SUMIF(Employee_Sales_Data!E4:E53,"Male",Employee_Sales_Data!H4:H53)</f>
        <v>1900000</v>
      </c>
      <c r="E43" s="17" t="s">
        <v>271</v>
      </c>
    </row>
    <row r="44" spans="1:5" ht="39.75" customHeight="1">
      <c r="A44" s="13">
        <v>41</v>
      </c>
      <c r="B44" s="26" t="s">
        <v>272</v>
      </c>
      <c r="C44" s="8" t="s">
        <v>273</v>
      </c>
      <c r="D44" s="16">
        <f>AVERAGEIF(Employee_Sales_Data!C40:C53,"IT",Employee_Sales_Data!H4:H53)</f>
        <v>62333.333333333336</v>
      </c>
      <c r="E44" s="17" t="s">
        <v>265</v>
      </c>
    </row>
    <row r="45" spans="1:5" ht="39.75" customHeight="1">
      <c r="A45" s="13">
        <v>42</v>
      </c>
      <c r="B45" s="26" t="s">
        <v>272</v>
      </c>
      <c r="C45" s="8" t="s">
        <v>274</v>
      </c>
      <c r="D45" s="16">
        <f ca="1">AVERAGEIF(Employee_Sales_Data!K4:K53,"Excellent",Employee_Sales_Data!H40:H53)</f>
        <v>63833.333333333336</v>
      </c>
      <c r="E45" s="17" t="s">
        <v>275</v>
      </c>
    </row>
    <row r="46" spans="1:5" ht="39.75" customHeight="1">
      <c r="A46" s="13">
        <v>43</v>
      </c>
      <c r="B46" s="26" t="s">
        <v>272</v>
      </c>
      <c r="C46" s="8" t="s">
        <v>276</v>
      </c>
      <c r="D46" s="16">
        <f ca="1">AVERAGEIF(Employee_Sales_Data!M4:M53,"&gt;5",Employee_Sales_Data!H40:H53)</f>
        <v>65375</v>
      </c>
      <c r="E46" s="17" t="s">
        <v>277</v>
      </c>
    </row>
    <row r="47" spans="1:5" ht="39.75" customHeight="1">
      <c r="A47" s="13">
        <v>44</v>
      </c>
      <c r="B47" s="27" t="s">
        <v>278</v>
      </c>
      <c r="C47" s="8" t="s">
        <v>279</v>
      </c>
      <c r="D47" s="16">
        <f>SUMIFS(Employee_Sales_Data!H4:H53,Employee_Sales_Data!E4:E53,"FEMALE",Employee_Sales_Data!C4:C53,"SALES")</f>
        <v>1021000</v>
      </c>
      <c r="E47" s="17" t="s">
        <v>280</v>
      </c>
    </row>
    <row r="48" spans="1:5" ht="39.75" customHeight="1">
      <c r="A48" s="13">
        <v>45</v>
      </c>
      <c r="B48" s="27" t="s">
        <v>278</v>
      </c>
      <c r="C48" s="8" t="s">
        <v>281</v>
      </c>
      <c r="D48" s="16">
        <f>SUMIFS(Employee_Sales_Data!N4:N53,Employee_Sales_Data!L4:L53,"Active",Employee_Sales_Data!K4:K53,"Excellent")</f>
        <v>158620</v>
      </c>
      <c r="E48" s="17" t="s">
        <v>282</v>
      </c>
    </row>
    <row r="49" spans="1:5" ht="39.75" customHeight="1">
      <c r="A49" s="13">
        <v>46</v>
      </c>
      <c r="B49" s="27" t="s">
        <v>278</v>
      </c>
      <c r="C49" s="8" t="s">
        <v>283</v>
      </c>
      <c r="D49" s="16">
        <f>SUMIFS(Employee_Sales_Data!I4:I53,Employee_Sales_Data!E4:E53,"Male",Employee_Sales_Data!D4:D53,"Bangalore")</f>
        <v>142000</v>
      </c>
      <c r="E49" s="17" t="s">
        <v>284</v>
      </c>
    </row>
    <row r="50" spans="1:5" ht="39.75" customHeight="1">
      <c r="A50" s="13">
        <v>47</v>
      </c>
      <c r="B50" s="27" t="s">
        <v>278</v>
      </c>
      <c r="C50" s="8" t="s">
        <v>285</v>
      </c>
      <c r="D50" s="16">
        <f>SUMIFS(Employee_Sales_Data!H4:H53,Employee_Sales_Data!L4:L53,"Active",Employee_Sales_Data!M4:M53,"&gt;4")</f>
        <v>2056000</v>
      </c>
      <c r="E50" s="17" t="s">
        <v>286</v>
      </c>
    </row>
    <row r="51" spans="1:5" ht="39.75" customHeight="1">
      <c r="A51" s="13">
        <v>48</v>
      </c>
      <c r="B51" s="28" t="s">
        <v>287</v>
      </c>
      <c r="C51" s="8" t="s">
        <v>288</v>
      </c>
      <c r="D51" s="16">
        <f>AVERAGEIFS(Employee_Sales_Data!H4:H53,Employee_Sales_Data!E4:E53,"Female",Employee_Sales_Data!C4:C53,"Finance")</f>
        <v>90000</v>
      </c>
      <c r="E51" s="17" t="s">
        <v>280</v>
      </c>
    </row>
    <row r="52" spans="1:5" ht="39.75" customHeight="1">
      <c r="A52" s="13">
        <v>49</v>
      </c>
      <c r="B52" s="28" t="s">
        <v>287</v>
      </c>
      <c r="C52" s="8" t="s">
        <v>289</v>
      </c>
      <c r="D52" s="16">
        <f ca="1">(AVERAGEIFS(Employee_Sales_Data!I4:I53,
             Employee_Sales_Data!L4:L53,"Active",
             Employee_Sales_Data!K4:K53,"Good",
             Employee_Sales_Data!D4:D53,"Mumbai")
 +
  AVERAGEIFS(Employee_Sales_Data!I4:I53,
             Employee_Sales_Data!L4:L53,"Active",
             Employee_Sales_Data!K4:K53,"Excellent",
             Employee_Sales_Data!D4:D53,"Mumbai")) / 2</f>
        <v>122833.33333333333</v>
      </c>
      <c r="E52" s="17" t="s">
        <v>290</v>
      </c>
    </row>
    <row r="53" spans="1:5" ht="39.75" customHeight="1">
      <c r="A53" s="13">
        <v>50</v>
      </c>
      <c r="B53" s="28" t="s">
        <v>287</v>
      </c>
      <c r="C53" s="8" t="s">
        <v>291</v>
      </c>
      <c r="D53" s="16">
        <f>AVERAGEIFS(Employee_Sales_Data!N4:N53,Employee_Sales_Data!E4:E53,"Male",Employee_Sales_Data!L4:L53,"Active",Employee_Sales_Data!M4:M53,"&gt;5")</f>
        <v>9178.461538461539</v>
      </c>
      <c r="E53" s="17" t="s">
        <v>292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zoomScaleNormal="100" workbookViewId="0"/>
  </sheetViews>
  <sheetFormatPr defaultColWidth="8.7109375" defaultRowHeight="15"/>
  <cols>
    <col min="1" max="1" width="16" style="1" customWidth="1"/>
    <col min="2" max="2" width="45" style="1" customWidth="1"/>
    <col min="3" max="3" width="48" style="1" customWidth="1"/>
  </cols>
  <sheetData>
    <row r="1" spans="1:3" ht="30" customHeight="1">
      <c r="A1" s="48" t="s">
        <v>293</v>
      </c>
      <c r="B1" s="48"/>
      <c r="C1" s="48"/>
    </row>
    <row r="2" spans="1:3" ht="24" customHeight="1">
      <c r="A2" s="29" t="s">
        <v>294</v>
      </c>
      <c r="B2" s="29" t="s">
        <v>295</v>
      </c>
      <c r="C2" s="29" t="s">
        <v>296</v>
      </c>
    </row>
    <row r="3" spans="1:3" ht="24" customHeight="1">
      <c r="A3" s="30" t="s">
        <v>202</v>
      </c>
      <c r="B3" s="30" t="s">
        <v>297</v>
      </c>
      <c r="C3" s="30" t="s">
        <v>298</v>
      </c>
    </row>
    <row r="4" spans="1:3" ht="24" customHeight="1">
      <c r="A4" s="31" t="s">
        <v>213</v>
      </c>
      <c r="B4" s="31" t="s">
        <v>299</v>
      </c>
      <c r="C4" s="31" t="s">
        <v>300</v>
      </c>
    </row>
    <row r="5" spans="1:3" ht="24" customHeight="1">
      <c r="A5" s="32" t="s">
        <v>221</v>
      </c>
      <c r="B5" s="32" t="s">
        <v>301</v>
      </c>
      <c r="C5" s="32" t="s">
        <v>302</v>
      </c>
    </row>
    <row r="6" spans="1:3" ht="24" customHeight="1">
      <c r="A6" s="33" t="s">
        <v>227</v>
      </c>
      <c r="B6" s="33" t="s">
        <v>303</v>
      </c>
      <c r="C6" s="33" t="s">
        <v>304</v>
      </c>
    </row>
    <row r="7" spans="1:3" ht="24" customHeight="1">
      <c r="A7" s="34" t="s">
        <v>234</v>
      </c>
      <c r="B7" s="34" t="s">
        <v>305</v>
      </c>
      <c r="C7" s="34" t="s">
        <v>306</v>
      </c>
    </row>
    <row r="8" spans="1:3" ht="24" customHeight="1">
      <c r="A8" s="35" t="s">
        <v>238</v>
      </c>
      <c r="B8" s="35" t="s">
        <v>307</v>
      </c>
      <c r="C8" s="35" t="s">
        <v>308</v>
      </c>
    </row>
    <row r="9" spans="1:3" ht="24" customHeight="1">
      <c r="A9" s="36" t="s">
        <v>247</v>
      </c>
      <c r="B9" s="36" t="s">
        <v>309</v>
      </c>
      <c r="C9" s="36" t="s">
        <v>310</v>
      </c>
    </row>
    <row r="10" spans="1:3" ht="24" customHeight="1">
      <c r="A10" s="37" t="s">
        <v>255</v>
      </c>
      <c r="B10" s="37" t="s">
        <v>311</v>
      </c>
      <c r="C10" s="37" t="s">
        <v>312</v>
      </c>
    </row>
    <row r="11" spans="1:3" ht="24" customHeight="1">
      <c r="A11" s="38" t="s">
        <v>263</v>
      </c>
      <c r="B11" s="38" t="s">
        <v>313</v>
      </c>
      <c r="C11" s="38" t="s">
        <v>314</v>
      </c>
    </row>
    <row r="12" spans="1:3" ht="24" customHeight="1">
      <c r="A12" s="39" t="s">
        <v>272</v>
      </c>
      <c r="B12" s="39" t="s">
        <v>315</v>
      </c>
      <c r="C12" s="39" t="s">
        <v>316</v>
      </c>
    </row>
    <row r="13" spans="1:3" ht="24" customHeight="1">
      <c r="A13" s="40" t="s">
        <v>278</v>
      </c>
      <c r="B13" s="40" t="s">
        <v>317</v>
      </c>
      <c r="C13" s="40" t="s">
        <v>318</v>
      </c>
    </row>
    <row r="14" spans="1:3" ht="24" customHeight="1">
      <c r="A14" s="41" t="s">
        <v>287</v>
      </c>
      <c r="B14" s="41" t="s">
        <v>319</v>
      </c>
      <c r="C14" s="41" t="s">
        <v>320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2026-05-02T10:57:28Z</dcterms:created>
  <dcterms:modified xsi:type="dcterms:W3CDTF">2026-05-03T13:37:28Z</dcterms:modified>
  <cp:category/>
  <cp:contentStatus/>
</cp:coreProperties>
</file>